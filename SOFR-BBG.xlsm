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875" yWindow="1995" windowWidth="27795" windowHeight="12405"/>
  </bookViews>
  <sheets>
    <sheet name="Introduction" sheetId="8" r:id="rId1"/>
    <sheet name="Inputs" sheetId="9" r:id="rId2"/>
    <sheet name="Main" sheetId="11" r:id="rId3"/>
    <sheet name="Benchmarking" sheetId="10" r:id="rId4"/>
  </sheets>
  <calcPr calcId="145621"/>
</workbook>
</file>

<file path=xl/calcChain.xml><?xml version="1.0" encoding="utf-8"?>
<calcChain xmlns="http://schemas.openxmlformats.org/spreadsheetml/2006/main">
  <c r="L169" i="11" l="1"/>
  <c r="F169" i="11"/>
  <c r="C169" i="11"/>
  <c r="E169" i="11"/>
  <c r="H172" i="11"/>
  <c r="H168" i="11"/>
  <c r="H176" i="11"/>
  <c r="H244" i="11"/>
  <c r="H288" i="11"/>
  <c r="H284" i="11"/>
  <c r="L3" i="11"/>
  <c r="K5" i="11"/>
  <c r="H204" i="11" l="1"/>
  <c r="H200" i="11"/>
  <c r="H196" i="11"/>
  <c r="H212" i="11"/>
  <c r="H208" i="11"/>
  <c r="H276" i="11"/>
  <c r="H252" i="11"/>
  <c r="H248" i="11"/>
  <c r="H264" i="11"/>
  <c r="E256" i="11"/>
  <c r="E252" i="11"/>
  <c r="E248" i="11"/>
  <c r="E244" i="11"/>
  <c r="E240" i="11"/>
  <c r="E236" i="11"/>
  <c r="E228" i="11"/>
  <c r="E224" i="11"/>
  <c r="E220" i="11"/>
  <c r="E216" i="11"/>
  <c r="E212" i="11"/>
  <c r="E208" i="11"/>
  <c r="E204" i="1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2" i="10"/>
  <c r="K168" i="11"/>
  <c r="K169" i="11"/>
  <c r="K170" i="11"/>
  <c r="K167" i="11"/>
  <c r="F172" i="11"/>
  <c r="F170" i="11"/>
  <c r="L36" i="11"/>
  <c r="P2" i="11"/>
  <c r="P3" i="11"/>
  <c r="P4" i="11"/>
  <c r="M4" i="11" s="1"/>
  <c r="P5" i="11"/>
  <c r="P6" i="11"/>
  <c r="P7" i="11"/>
  <c r="P8" i="11"/>
  <c r="P9" i="11"/>
  <c r="M9" i="11" s="1"/>
  <c r="P10" i="11"/>
  <c r="P11" i="11"/>
  <c r="P12" i="11"/>
  <c r="P13" i="11"/>
  <c r="M13" i="11" s="1"/>
  <c r="P14" i="11"/>
  <c r="P15" i="11"/>
  <c r="P16" i="11"/>
  <c r="P17" i="11"/>
  <c r="M17" i="11" s="1"/>
  <c r="P18" i="11"/>
  <c r="P19" i="11"/>
  <c r="P20" i="11"/>
  <c r="P21" i="11"/>
  <c r="P22" i="11"/>
  <c r="P23" i="11"/>
  <c r="P24" i="11"/>
  <c r="P25" i="11"/>
  <c r="M25" i="11" s="1"/>
  <c r="P26" i="11"/>
  <c r="P27" i="11"/>
  <c r="P28" i="11"/>
  <c r="P29" i="11"/>
  <c r="M29" i="11" s="1"/>
  <c r="P30" i="11"/>
  <c r="P31" i="11"/>
  <c r="P32" i="11"/>
  <c r="M32" i="11" s="1"/>
  <c r="D324" i="11"/>
  <c r="D323" i="11"/>
  <c r="D322" i="11"/>
  <c r="D321" i="11"/>
  <c r="D320" i="11"/>
  <c r="D319" i="11"/>
  <c r="D318" i="11"/>
  <c r="D317" i="11"/>
  <c r="D316" i="11"/>
  <c r="D315" i="11"/>
  <c r="D314" i="11"/>
  <c r="D313" i="11"/>
  <c r="D312" i="11"/>
  <c r="D311" i="11"/>
  <c r="D310" i="11"/>
  <c r="D309" i="11"/>
  <c r="D308" i="11"/>
  <c r="D307" i="11"/>
  <c r="D306" i="11"/>
  <c r="D305" i="11"/>
  <c r="D304" i="11"/>
  <c r="D303" i="11"/>
  <c r="D302" i="11"/>
  <c r="D301" i="11"/>
  <c r="D300" i="11"/>
  <c r="D299" i="11"/>
  <c r="D298" i="11"/>
  <c r="D297" i="11"/>
  <c r="D296" i="11"/>
  <c r="D295" i="11"/>
  <c r="D294" i="11"/>
  <c r="D293" i="11"/>
  <c r="D292" i="11"/>
  <c r="D291" i="11"/>
  <c r="D290" i="11"/>
  <c r="D289" i="11"/>
  <c r="D288" i="11"/>
  <c r="D287" i="11"/>
  <c r="D286" i="11"/>
  <c r="F285" i="11"/>
  <c r="F286" i="11" s="1"/>
  <c r="F287" i="11" s="1"/>
  <c r="F288" i="11" s="1"/>
  <c r="D285" i="11"/>
  <c r="D284" i="11"/>
  <c r="D283" i="11"/>
  <c r="D282" i="11"/>
  <c r="D281" i="11"/>
  <c r="D280" i="11"/>
  <c r="D279" i="11"/>
  <c r="D278" i="11"/>
  <c r="D277" i="11"/>
  <c r="D276" i="11"/>
  <c r="D275" i="11"/>
  <c r="D274" i="11"/>
  <c r="D273" i="11"/>
  <c r="D272" i="11"/>
  <c r="D271" i="11"/>
  <c r="D270" i="11"/>
  <c r="D269" i="11"/>
  <c r="D268" i="11"/>
  <c r="D267" i="11"/>
  <c r="D266" i="11"/>
  <c r="D265" i="11"/>
  <c r="D264" i="11"/>
  <c r="D263" i="11"/>
  <c r="D262" i="11"/>
  <c r="D261" i="11"/>
  <c r="D260" i="11"/>
  <c r="D259" i="11"/>
  <c r="D258" i="11"/>
  <c r="D257" i="11"/>
  <c r="D256" i="11"/>
  <c r="D255" i="11"/>
  <c r="D254" i="11"/>
  <c r="D253" i="11"/>
  <c r="D252" i="11"/>
  <c r="D251" i="11"/>
  <c r="D250" i="11"/>
  <c r="D249" i="11"/>
  <c r="D248" i="11"/>
  <c r="D247" i="11"/>
  <c r="D246" i="11"/>
  <c r="F245" i="11"/>
  <c r="D245" i="11"/>
  <c r="D244" i="11"/>
  <c r="D243" i="11"/>
  <c r="D242" i="11"/>
  <c r="D241" i="11"/>
  <c r="D240" i="11"/>
  <c r="D239" i="11"/>
  <c r="D238" i="11"/>
  <c r="D237" i="11"/>
  <c r="D236" i="11"/>
  <c r="D235" i="11"/>
  <c r="D234" i="11"/>
  <c r="D233" i="11"/>
  <c r="D232" i="11"/>
  <c r="D231" i="11"/>
  <c r="D230" i="11"/>
  <c r="D229" i="11"/>
  <c r="D228" i="11"/>
  <c r="D227" i="11"/>
  <c r="D226" i="11"/>
  <c r="F225" i="11"/>
  <c r="D225" i="11"/>
  <c r="D224" i="11"/>
  <c r="D223" i="11"/>
  <c r="D222" i="11"/>
  <c r="D221" i="11"/>
  <c r="D220" i="11"/>
  <c r="D219" i="11"/>
  <c r="D218" i="11"/>
  <c r="D217" i="11"/>
  <c r="D216" i="11"/>
  <c r="D215" i="11"/>
  <c r="D214" i="11"/>
  <c r="F213" i="11"/>
  <c r="F214" i="11" s="1"/>
  <c r="F215" i="11" s="1"/>
  <c r="F216" i="11" s="1"/>
  <c r="D213" i="11"/>
  <c r="D212" i="11"/>
  <c r="D211" i="11"/>
  <c r="D210" i="11"/>
  <c r="D209" i="11"/>
  <c r="D208" i="11"/>
  <c r="D207" i="11"/>
  <c r="D206" i="11"/>
  <c r="F205" i="11"/>
  <c r="F206" i="11" s="1"/>
  <c r="D205" i="11"/>
  <c r="D204" i="11"/>
  <c r="D203" i="11"/>
  <c r="D202" i="11"/>
  <c r="D201" i="11"/>
  <c r="D200" i="11"/>
  <c r="D199" i="11"/>
  <c r="D198" i="11"/>
  <c r="D197" i="11"/>
  <c r="D196" i="11"/>
  <c r="F195" i="11"/>
  <c r="F196" i="11" s="1"/>
  <c r="D195" i="11"/>
  <c r="F194" i="11"/>
  <c r="D194" i="11"/>
  <c r="F193" i="11"/>
  <c r="D193" i="11"/>
  <c r="D192" i="11"/>
  <c r="D191" i="11"/>
  <c r="D190" i="11"/>
  <c r="D189" i="11"/>
  <c r="D188" i="11"/>
  <c r="D187" i="11"/>
  <c r="D186" i="11"/>
  <c r="F185" i="11"/>
  <c r="D185" i="11"/>
  <c r="D184" i="11"/>
  <c r="D183" i="11"/>
  <c r="D182" i="11"/>
  <c r="F181" i="11"/>
  <c r="F182" i="11" s="1"/>
  <c r="D181" i="11"/>
  <c r="D180" i="11"/>
  <c r="D179" i="11"/>
  <c r="D178" i="11"/>
  <c r="F177" i="11"/>
  <c r="D177" i="11"/>
  <c r="D176" i="11"/>
  <c r="D175" i="11"/>
  <c r="D174" i="11"/>
  <c r="F173" i="11"/>
  <c r="F174" i="11" s="1"/>
  <c r="F175" i="11" s="1"/>
  <c r="F176" i="11" s="1"/>
  <c r="D173" i="11"/>
  <c r="D172" i="11"/>
  <c r="C172" i="11" s="1"/>
  <c r="C171" i="11"/>
  <c r="B171" i="11"/>
  <c r="L170" i="11"/>
  <c r="F171" i="11" s="1"/>
  <c r="C170" i="11"/>
  <c r="B170" i="11"/>
  <c r="B169" i="11"/>
  <c r="C168" i="11"/>
  <c r="B168" i="11"/>
  <c r="L167" i="11"/>
  <c r="B167" i="11"/>
  <c r="O62" i="11"/>
  <c r="O61" i="11"/>
  <c r="O60" i="11"/>
  <c r="O59" i="11"/>
  <c r="O58" i="11"/>
  <c r="O57" i="11"/>
  <c r="O56" i="11"/>
  <c r="O55" i="11"/>
  <c r="O54" i="11"/>
  <c r="O53" i="11"/>
  <c r="O52" i="11"/>
  <c r="O46" i="11"/>
  <c r="O45" i="11"/>
  <c r="O44" i="11"/>
  <c r="O43" i="11"/>
  <c r="O42" i="11"/>
  <c r="O41" i="11"/>
  <c r="K36" i="11" s="1"/>
  <c r="F36" i="11" s="1"/>
  <c r="F37" i="11" s="1"/>
  <c r="F38" i="11" s="1"/>
  <c r="F39" i="11" s="1"/>
  <c r="F40" i="11" s="1"/>
  <c r="F41" i="11" s="1"/>
  <c r="F42" i="11" s="1"/>
  <c r="F43" i="11" s="1"/>
  <c r="F44" i="11" s="1"/>
  <c r="F45" i="11" s="1"/>
  <c r="F46" i="11" s="1"/>
  <c r="F47" i="11" s="1"/>
  <c r="F48" i="11" s="1"/>
  <c r="F49" i="11" s="1"/>
  <c r="F50" i="11" s="1"/>
  <c r="F51" i="11" s="1"/>
  <c r="F52" i="11" s="1"/>
  <c r="F53" i="11" s="1"/>
  <c r="F54" i="11" s="1"/>
  <c r="F55" i="11" s="1"/>
  <c r="F56" i="11" s="1"/>
  <c r="F57" i="11" s="1"/>
  <c r="F58" i="11" s="1"/>
  <c r="F59" i="11" s="1"/>
  <c r="F60" i="11" s="1"/>
  <c r="F61" i="11" s="1"/>
  <c r="F62" i="11" s="1"/>
  <c r="F63" i="11" s="1"/>
  <c r="F64" i="11" s="1"/>
  <c r="F65" i="11" s="1"/>
  <c r="F66" i="11" s="1"/>
  <c r="F67" i="11" s="1"/>
  <c r="F68" i="11" s="1"/>
  <c r="F69" i="11" s="1"/>
  <c r="F70" i="11" s="1"/>
  <c r="F71" i="11" s="1"/>
  <c r="F72" i="11" s="1"/>
  <c r="F73" i="11" s="1"/>
  <c r="F74" i="11" s="1"/>
  <c r="F75" i="11" s="1"/>
  <c r="F76" i="11" s="1"/>
  <c r="F77" i="11" s="1"/>
  <c r="F78" i="11" s="1"/>
  <c r="F79" i="11" s="1"/>
  <c r="F80" i="11" s="1"/>
  <c r="F81" i="11" s="1"/>
  <c r="F82" i="11" s="1"/>
  <c r="F83" i="11" s="1"/>
  <c r="F84" i="11" s="1"/>
  <c r="F85" i="11" s="1"/>
  <c r="F86" i="11" s="1"/>
  <c r="F87" i="11" s="1"/>
  <c r="F88" i="11" s="1"/>
  <c r="F89" i="11" s="1"/>
  <c r="F90" i="11" s="1"/>
  <c r="F91" i="11" s="1"/>
  <c r="F92" i="11" s="1"/>
  <c r="F93" i="11" s="1"/>
  <c r="F94" i="11" s="1"/>
  <c r="F95" i="11" s="1"/>
  <c r="F96" i="11" s="1"/>
  <c r="F97" i="11" s="1"/>
  <c r="F98" i="11" s="1"/>
  <c r="F99" i="11" s="1"/>
  <c r="F100" i="11" s="1"/>
  <c r="O40" i="11"/>
  <c r="N40" i="11" s="1"/>
  <c r="M31" i="11"/>
  <c r="M30" i="11"/>
  <c r="M28" i="11"/>
  <c r="M27" i="11"/>
  <c r="M26" i="11"/>
  <c r="M24" i="11"/>
  <c r="M23" i="11"/>
  <c r="N22" i="11"/>
  <c r="M22" i="11" s="1"/>
  <c r="N21" i="11"/>
  <c r="N20" i="11"/>
  <c r="M20" i="11" s="1"/>
  <c r="N19" i="11"/>
  <c r="N18" i="11"/>
  <c r="M18" i="11"/>
  <c r="N17" i="11"/>
  <c r="N16" i="11"/>
  <c r="N15" i="11"/>
  <c r="M15" i="11" s="1"/>
  <c r="N14" i="11"/>
  <c r="M14" i="11" s="1"/>
  <c r="N13" i="11"/>
  <c r="N12" i="11"/>
  <c r="N11" i="11"/>
  <c r="M11" i="11" s="1"/>
  <c r="N10" i="11"/>
  <c r="M10" i="11" s="1"/>
  <c r="N9" i="11"/>
  <c r="N8" i="11"/>
  <c r="M8" i="11" s="1"/>
  <c r="N7" i="11"/>
  <c r="N6" i="11"/>
  <c r="M6" i="11" s="1"/>
  <c r="N5" i="11"/>
  <c r="M5" i="11" s="1"/>
  <c r="N4" i="11"/>
  <c r="D4" i="11"/>
  <c r="B4" i="11" s="1"/>
  <c r="N3" i="11"/>
  <c r="D3" i="11"/>
  <c r="B3" i="11" s="1"/>
  <c r="M2" i="11"/>
  <c r="F2" i="11"/>
  <c r="F167" i="11" l="1"/>
  <c r="F166" i="11"/>
  <c r="F207" i="11"/>
  <c r="F208" i="11"/>
  <c r="F178" i="11"/>
  <c r="F179" i="11" s="1"/>
  <c r="F180" i="11" s="1"/>
  <c r="H180" i="11" s="1"/>
  <c r="K3" i="11"/>
  <c r="F246" i="11"/>
  <c r="F226" i="11"/>
  <c r="F197" i="11"/>
  <c r="F186" i="11"/>
  <c r="F183" i="11"/>
  <c r="M21" i="11"/>
  <c r="M3" i="11"/>
  <c r="M12" i="11"/>
  <c r="M16" i="11"/>
  <c r="M7" i="11"/>
  <c r="M19" i="11"/>
  <c r="F217" i="11"/>
  <c r="H216" i="11"/>
  <c r="D5" i="11"/>
  <c r="C3" i="11"/>
  <c r="C4" i="11"/>
  <c r="N41" i="11"/>
  <c r="K101" i="11"/>
  <c r="L101" i="11" s="1"/>
  <c r="F101" i="11" s="1"/>
  <c r="F102" i="11" s="1"/>
  <c r="F103" i="11" s="1"/>
  <c r="F104" i="11" s="1"/>
  <c r="F105" i="11" s="1"/>
  <c r="F106" i="11" s="1"/>
  <c r="F107" i="11" s="1"/>
  <c r="F108" i="11" s="1"/>
  <c r="F109" i="11" s="1"/>
  <c r="F110" i="11" s="1"/>
  <c r="F111" i="11" s="1"/>
  <c r="F112" i="11" s="1"/>
  <c r="F113" i="11" s="1"/>
  <c r="N42" i="11"/>
  <c r="F289" i="11"/>
  <c r="F209" i="11"/>
  <c r="F114" i="11" l="1"/>
  <c r="F115" i="11" s="1"/>
  <c r="F116" i="11" s="1"/>
  <c r="F117" i="11" s="1"/>
  <c r="F118" i="11" s="1"/>
  <c r="F119" i="11" s="1"/>
  <c r="F120" i="11" s="1"/>
  <c r="F121" i="11" s="1"/>
  <c r="F122" i="11" s="1"/>
  <c r="F123" i="11" s="1"/>
  <c r="F124" i="11" s="1"/>
  <c r="F125" i="11" s="1"/>
  <c r="F126" i="11" s="1"/>
  <c r="F127" i="11" s="1"/>
  <c r="F128" i="11" s="1"/>
  <c r="F129" i="11" s="1"/>
  <c r="F130" i="11" s="1"/>
  <c r="F131" i="11" s="1"/>
  <c r="F132" i="11" s="1"/>
  <c r="F133" i="11" s="1"/>
  <c r="F134" i="11" s="1"/>
  <c r="F135" i="11" s="1"/>
  <c r="F136" i="11" s="1"/>
  <c r="F290" i="11"/>
  <c r="F247" i="11"/>
  <c r="F227" i="11"/>
  <c r="F218" i="11"/>
  <c r="F210" i="11"/>
  <c r="F198" i="11"/>
  <c r="F187" i="11"/>
  <c r="F184" i="11"/>
  <c r="B5" i="11"/>
  <c r="D6" i="11"/>
  <c r="C5" i="11"/>
  <c r="F137" i="11" l="1"/>
  <c r="F138" i="11" s="1"/>
  <c r="F139" i="11" s="1"/>
  <c r="F140" i="11" s="1"/>
  <c r="F141" i="11" s="1"/>
  <c r="F142" i="11" s="1"/>
  <c r="F143" i="11" s="1"/>
  <c r="F144" i="11" s="1"/>
  <c r="F145" i="11" s="1"/>
  <c r="F146" i="11" s="1"/>
  <c r="F147" i="11" s="1"/>
  <c r="F148" i="11" s="1"/>
  <c r="F149" i="11" s="1"/>
  <c r="F150" i="11" s="1"/>
  <c r="F151" i="11" s="1"/>
  <c r="F152" i="11" s="1"/>
  <c r="F153" i="11" s="1"/>
  <c r="F154" i="11" s="1"/>
  <c r="F155" i="11" s="1"/>
  <c r="F156" i="11" s="1"/>
  <c r="F157" i="11" s="1"/>
  <c r="F158" i="11" s="1"/>
  <c r="F291" i="11"/>
  <c r="F248" i="11"/>
  <c r="F228" i="11"/>
  <c r="F219" i="11"/>
  <c r="F211" i="11"/>
  <c r="F199" i="11"/>
  <c r="F188" i="11"/>
  <c r="H184" i="11"/>
  <c r="B6" i="11"/>
  <c r="D7" i="11"/>
  <c r="C6" i="11"/>
  <c r="F159" i="11" l="1"/>
  <c r="F160" i="11" s="1"/>
  <c r="F161" i="11" s="1"/>
  <c r="F162" i="11" s="1"/>
  <c r="F163" i="11" s="1"/>
  <c r="F164" i="11" s="1"/>
  <c r="F165" i="11" s="1"/>
  <c r="F292" i="11"/>
  <c r="F249" i="11"/>
  <c r="H228" i="11"/>
  <c r="F229" i="11"/>
  <c r="F220" i="11"/>
  <c r="F212" i="11"/>
  <c r="F200" i="11"/>
  <c r="H188" i="11"/>
  <c r="F189" i="11"/>
  <c r="D8" i="11"/>
  <c r="C7" i="11"/>
  <c r="B7" i="11"/>
  <c r="H292" i="11" l="1"/>
  <c r="F293" i="11"/>
  <c r="F250" i="11"/>
  <c r="F230" i="11"/>
  <c r="H220" i="11"/>
  <c r="F221" i="11"/>
  <c r="F201" i="11"/>
  <c r="F190" i="11"/>
  <c r="D9" i="11"/>
  <c r="C8" i="11"/>
  <c r="B8" i="11"/>
  <c r="F294" i="11" l="1"/>
  <c r="F251" i="11"/>
  <c r="F231" i="11"/>
  <c r="F222" i="11"/>
  <c r="F202" i="11"/>
  <c r="F191" i="11"/>
  <c r="D10" i="11"/>
  <c r="C9" i="11"/>
  <c r="B9" i="11"/>
  <c r="F295" i="11" l="1"/>
  <c r="F252" i="11"/>
  <c r="F232" i="11"/>
  <c r="F223" i="11"/>
  <c r="F203" i="11"/>
  <c r="F192" i="11"/>
  <c r="B10" i="11"/>
  <c r="D11" i="11"/>
  <c r="C10" i="11"/>
  <c r="F296" i="11" l="1"/>
  <c r="F253" i="11"/>
  <c r="F233" i="11"/>
  <c r="H232" i="11"/>
  <c r="F224" i="11"/>
  <c r="F204" i="11"/>
  <c r="H192" i="11"/>
  <c r="D12" i="11"/>
  <c r="C11" i="11"/>
  <c r="B11" i="11"/>
  <c r="H296" i="11" l="1"/>
  <c r="F297" i="11"/>
  <c r="F254" i="11"/>
  <c r="F234" i="11"/>
  <c r="H224" i="11"/>
  <c r="D13" i="11"/>
  <c r="C12" i="11"/>
  <c r="B12" i="11"/>
  <c r="F298" i="11" l="1"/>
  <c r="F255" i="11"/>
  <c r="F235" i="11"/>
  <c r="C13" i="11"/>
  <c r="B13" i="11"/>
  <c r="D14" i="11"/>
  <c r="F299" i="11" l="1"/>
  <c r="F256" i="11"/>
  <c r="F236" i="11"/>
  <c r="B14" i="11"/>
  <c r="D15" i="11"/>
  <c r="C14" i="11"/>
  <c r="F300" i="11" l="1"/>
  <c r="F257" i="11"/>
  <c r="H256" i="11"/>
  <c r="H236" i="11"/>
  <c r="F237" i="11"/>
  <c r="D16" i="11"/>
  <c r="C15" i="11"/>
  <c r="B15" i="11"/>
  <c r="F301" i="11" l="1"/>
  <c r="H300" i="11"/>
  <c r="F258" i="11"/>
  <c r="F238" i="11"/>
  <c r="D17" i="11"/>
  <c r="C16" i="11"/>
  <c r="B16" i="11"/>
  <c r="F302" i="11" l="1"/>
  <c r="F259" i="11"/>
  <c r="F239" i="11"/>
  <c r="C17" i="11"/>
  <c r="B17" i="11"/>
  <c r="D18" i="11"/>
  <c r="F303" i="11" l="1"/>
  <c r="F260" i="11"/>
  <c r="F240" i="11"/>
  <c r="B18" i="11"/>
  <c r="D19" i="11"/>
  <c r="C18" i="11"/>
  <c r="F304" i="11" l="1"/>
  <c r="H260" i="11"/>
  <c r="F261" i="11"/>
  <c r="F241" i="11"/>
  <c r="H240" i="11"/>
  <c r="D20" i="11"/>
  <c r="C19" i="11"/>
  <c r="B19" i="11"/>
  <c r="H304" i="11" l="1"/>
  <c r="F305" i="11"/>
  <c r="F262" i="11"/>
  <c r="F242" i="11"/>
  <c r="D21" i="11"/>
  <c r="C20" i="11"/>
  <c r="B20" i="11"/>
  <c r="F306" i="11" l="1"/>
  <c r="F263" i="11"/>
  <c r="F243" i="11"/>
  <c r="C21" i="11"/>
  <c r="B21" i="11"/>
  <c r="D22" i="11"/>
  <c r="F307" i="11" l="1"/>
  <c r="F264" i="11"/>
  <c r="F244" i="11"/>
  <c r="B22" i="11"/>
  <c r="D23" i="11"/>
  <c r="C22" i="11"/>
  <c r="F308" i="11" l="1"/>
  <c r="F265" i="11"/>
  <c r="C23" i="11"/>
  <c r="D24" i="11"/>
  <c r="B23" i="11"/>
  <c r="H308" i="11" l="1"/>
  <c r="F309" i="11"/>
  <c r="F266" i="11"/>
  <c r="C24" i="11"/>
  <c r="D25" i="11"/>
  <c r="B24" i="11"/>
  <c r="F310" i="11" l="1"/>
  <c r="F267" i="11"/>
  <c r="C25" i="11"/>
  <c r="D26" i="11"/>
  <c r="B25" i="11"/>
  <c r="F311" i="11" l="1"/>
  <c r="F268" i="11"/>
  <c r="C26" i="11"/>
  <c r="D27" i="11"/>
  <c r="B26" i="11"/>
  <c r="F312" i="11" l="1"/>
  <c r="F269" i="11"/>
  <c r="H268" i="11"/>
  <c r="C27" i="11"/>
  <c r="D28" i="11"/>
  <c r="B27" i="11"/>
  <c r="F313" i="11" l="1"/>
  <c r="H312" i="11"/>
  <c r="F270" i="11"/>
  <c r="D29" i="11"/>
  <c r="C28" i="11"/>
  <c r="B28" i="11"/>
  <c r="F314" i="11" l="1"/>
  <c r="F271" i="11"/>
  <c r="C29" i="11"/>
  <c r="D30" i="11"/>
  <c r="B29" i="11"/>
  <c r="F315" i="11" l="1"/>
  <c r="F272" i="11"/>
  <c r="D31" i="11"/>
  <c r="B30" i="11"/>
  <c r="C30" i="11"/>
  <c r="F316" i="11" l="1"/>
  <c r="F273" i="11"/>
  <c r="H272" i="11"/>
  <c r="C31" i="11"/>
  <c r="D32" i="11"/>
  <c r="B31" i="11"/>
  <c r="H316" i="11" l="1"/>
  <c r="F317" i="11"/>
  <c r="F274" i="11"/>
  <c r="C32" i="11"/>
  <c r="D33" i="11"/>
  <c r="B32" i="11"/>
  <c r="F318" i="11" l="1"/>
  <c r="F275" i="11"/>
  <c r="C33" i="11"/>
  <c r="B33" i="11"/>
  <c r="D34" i="11"/>
  <c r="F319" i="11" l="1"/>
  <c r="F276" i="11"/>
  <c r="B34" i="11"/>
  <c r="D35" i="11"/>
  <c r="C34" i="11"/>
  <c r="F320" i="11" l="1"/>
  <c r="F277" i="11"/>
  <c r="C35" i="11"/>
  <c r="D36" i="11"/>
  <c r="B35" i="11"/>
  <c r="G2" i="11" s="1"/>
  <c r="F3" i="11" s="1"/>
  <c r="H320" i="11" l="1"/>
  <c r="F321" i="11"/>
  <c r="F278" i="11"/>
  <c r="F4" i="11"/>
  <c r="E3" i="11"/>
  <c r="D37" i="11"/>
  <c r="C36" i="11"/>
  <c r="B36" i="11"/>
  <c r="F5" i="11" l="1"/>
  <c r="F6" i="11" s="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322" i="11"/>
  <c r="F279" i="11"/>
  <c r="E4" i="11"/>
  <c r="C37" i="11"/>
  <c r="D38" i="11"/>
  <c r="B37" i="11"/>
  <c r="E5" i="11" l="1"/>
  <c r="E6" i="11" s="1"/>
  <c r="E7" i="11" s="1"/>
  <c r="E8" i="11" s="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F29" i="11"/>
  <c r="F30" i="11" s="1"/>
  <c r="F31" i="11" s="1"/>
  <c r="F32" i="11" s="1"/>
  <c r="F33" i="11" s="1"/>
  <c r="F34" i="11" s="1"/>
  <c r="F35" i="11" s="1"/>
  <c r="H35" i="11" s="1"/>
  <c r="F323" i="11"/>
  <c r="F280" i="11"/>
  <c r="C38" i="11"/>
  <c r="B38" i="11"/>
  <c r="D39" i="11"/>
  <c r="E29" i="11" l="1"/>
  <c r="E30" i="11" s="1"/>
  <c r="E31" i="11" s="1"/>
  <c r="E32" i="11" s="1"/>
  <c r="E33" i="11" s="1"/>
  <c r="E34" i="11" s="1"/>
  <c r="E35" i="11" s="1"/>
  <c r="E36" i="11" s="1"/>
  <c r="E37" i="11" s="1"/>
  <c r="E38" i="11" s="1"/>
  <c r="F324" i="11"/>
  <c r="H324" i="11" s="1"/>
  <c r="H280" i="11"/>
  <c r="F281" i="11"/>
  <c r="B39" i="11"/>
  <c r="D40" i="11"/>
  <c r="C39" i="11"/>
  <c r="F282" i="11" l="1"/>
  <c r="E39" i="11"/>
  <c r="D41" i="11"/>
  <c r="C40" i="11"/>
  <c r="B40" i="11"/>
  <c r="F283" i="11" l="1"/>
  <c r="E40" i="11"/>
  <c r="B41" i="11"/>
  <c r="D42" i="11"/>
  <c r="C41" i="11"/>
  <c r="F284" i="11" l="1"/>
  <c r="E41" i="11"/>
  <c r="D43" i="11"/>
  <c r="C42" i="11"/>
  <c r="B42" i="11"/>
  <c r="E42" i="11" l="1"/>
  <c r="C43" i="11"/>
  <c r="D44" i="11"/>
  <c r="B43" i="11"/>
  <c r="E43" i="11" l="1"/>
  <c r="D45" i="11"/>
  <c r="B44" i="11"/>
  <c r="C44" i="11"/>
  <c r="E44" i="11" l="1"/>
  <c r="C45" i="11"/>
  <c r="E45" i="11" s="1"/>
  <c r="B45" i="11"/>
  <c r="D46" i="11"/>
  <c r="D47" i="11" l="1"/>
  <c r="B46" i="11"/>
  <c r="C46" i="11"/>
  <c r="E46" i="11" s="1"/>
  <c r="C47" i="11" l="1"/>
  <c r="E47" i="11" s="1"/>
  <c r="B47" i="11"/>
  <c r="D48" i="11"/>
  <c r="C48" i="11" l="1"/>
  <c r="E48" i="11" s="1"/>
  <c r="B48" i="11"/>
  <c r="D49" i="11"/>
  <c r="B49" i="11" l="1"/>
  <c r="D50" i="11"/>
  <c r="C49" i="11"/>
  <c r="E49" i="11" s="1"/>
  <c r="D51" i="11" l="1"/>
  <c r="C50" i="11"/>
  <c r="E50" i="11" s="1"/>
  <c r="B50" i="11"/>
  <c r="C51" i="11" l="1"/>
  <c r="E51" i="11" s="1"/>
  <c r="D52" i="11"/>
  <c r="B51" i="11"/>
  <c r="C52" i="11" l="1"/>
  <c r="E52" i="11" s="1"/>
  <c r="D53" i="11"/>
  <c r="B52" i="11"/>
  <c r="C53" i="11" l="1"/>
  <c r="E53" i="11" s="1"/>
  <c r="D54" i="11"/>
  <c r="B53" i="11"/>
  <c r="C54" i="11" l="1"/>
  <c r="E54" i="11" s="1"/>
  <c r="D55" i="11"/>
  <c r="B54" i="11"/>
  <c r="C55" i="11" l="1"/>
  <c r="E55" i="11" s="1"/>
  <c r="D56" i="11"/>
  <c r="B55" i="11"/>
  <c r="C56" i="11" l="1"/>
  <c r="E56" i="11" s="1"/>
  <c r="D57" i="11"/>
  <c r="B56" i="11"/>
  <c r="B57" i="11" l="1"/>
  <c r="C57" i="11"/>
  <c r="E57" i="11" s="1"/>
  <c r="D58" i="11"/>
  <c r="C58" i="11" l="1"/>
  <c r="E58" i="11" s="1"/>
  <c r="D59" i="11"/>
  <c r="B58" i="11"/>
  <c r="D60" i="11" l="1"/>
  <c r="B59" i="11"/>
  <c r="C59" i="11"/>
  <c r="E59" i="11" s="1"/>
  <c r="C60" i="11" l="1"/>
  <c r="E60" i="11" s="1"/>
  <c r="D61" i="11"/>
  <c r="B60" i="11"/>
  <c r="C61" i="11" l="1"/>
  <c r="E61" i="11" s="1"/>
  <c r="D62" i="11"/>
  <c r="B61" i="11"/>
  <c r="C62" i="11" l="1"/>
  <c r="E62" i="11" s="1"/>
  <c r="D63" i="11"/>
  <c r="B62" i="11"/>
  <c r="D64" i="11" l="1"/>
  <c r="C63" i="11"/>
  <c r="E63" i="11" s="1"/>
  <c r="B63" i="11"/>
  <c r="C64" i="11" l="1"/>
  <c r="E64" i="11" s="1"/>
  <c r="D65" i="11"/>
  <c r="B64" i="11"/>
  <c r="C65" i="11" l="1"/>
  <c r="E65" i="11" s="1"/>
  <c r="B65" i="11"/>
  <c r="D66" i="11"/>
  <c r="B66" i="11" l="1"/>
  <c r="D67" i="11"/>
  <c r="C66" i="11"/>
  <c r="E66" i="11" s="1"/>
  <c r="D68" i="11" l="1"/>
  <c r="B67" i="11"/>
  <c r="C67" i="11"/>
  <c r="E67" i="11" s="1"/>
  <c r="C68" i="11" l="1"/>
  <c r="E68" i="11" s="1"/>
  <c r="B68" i="11"/>
  <c r="D69" i="11"/>
  <c r="C69" i="11" l="1"/>
  <c r="E69" i="11" s="1"/>
  <c r="B69" i="11"/>
  <c r="D70" i="11"/>
  <c r="B70" i="11" l="1"/>
  <c r="D71" i="11"/>
  <c r="C70" i="11"/>
  <c r="E70" i="11" s="1"/>
  <c r="D72" i="11" l="1"/>
  <c r="C71" i="11"/>
  <c r="E71" i="11" s="1"/>
  <c r="B71" i="11"/>
  <c r="C72" i="11" l="1"/>
  <c r="E72" i="11" s="1"/>
  <c r="D73" i="11"/>
  <c r="B72" i="11"/>
  <c r="C73" i="11" l="1"/>
  <c r="E73" i="11" s="1"/>
  <c r="B73" i="11"/>
  <c r="D74" i="11"/>
  <c r="B74" i="11" l="1"/>
  <c r="D75" i="11"/>
  <c r="C74" i="11"/>
  <c r="E74" i="11" s="1"/>
  <c r="D76" i="11" l="1"/>
  <c r="B75" i="11"/>
  <c r="C75" i="11"/>
  <c r="E75" i="11" s="1"/>
  <c r="C76" i="11" l="1"/>
  <c r="E76" i="11" s="1"/>
  <c r="B76" i="11"/>
  <c r="D77" i="11"/>
  <c r="C77" i="11" l="1"/>
  <c r="E77" i="11" s="1"/>
  <c r="B77" i="11"/>
  <c r="D78" i="11"/>
  <c r="B78" i="11" l="1"/>
  <c r="D79" i="11"/>
  <c r="C78" i="11"/>
  <c r="E78" i="11" s="1"/>
  <c r="D80" i="11" l="1"/>
  <c r="C79" i="11"/>
  <c r="E79" i="11" s="1"/>
  <c r="B79" i="11"/>
  <c r="C80" i="11" l="1"/>
  <c r="E80" i="11" s="1"/>
  <c r="D81" i="11"/>
  <c r="B80" i="11"/>
  <c r="C81" i="11" l="1"/>
  <c r="E81" i="11" s="1"/>
  <c r="B81" i="11"/>
  <c r="D82" i="11"/>
  <c r="B82" i="11" l="1"/>
  <c r="D83" i="11"/>
  <c r="C82" i="11"/>
  <c r="E82" i="11" s="1"/>
  <c r="D84" i="11" l="1"/>
  <c r="B83" i="11"/>
  <c r="C83" i="11"/>
  <c r="E83" i="11" s="1"/>
  <c r="C84" i="11" l="1"/>
  <c r="E84" i="11" s="1"/>
  <c r="B84" i="11"/>
  <c r="D85" i="11"/>
  <c r="C85" i="11" l="1"/>
  <c r="E85" i="11" s="1"/>
  <c r="B85" i="11"/>
  <c r="D86" i="11"/>
  <c r="B86" i="11" l="1"/>
  <c r="D87" i="11"/>
  <c r="C86" i="11"/>
  <c r="E86" i="11" s="1"/>
  <c r="D88" i="11" l="1"/>
  <c r="C87" i="11"/>
  <c r="E87" i="11" s="1"/>
  <c r="B87" i="11"/>
  <c r="C88" i="11" l="1"/>
  <c r="E88" i="11" s="1"/>
  <c r="D89" i="11"/>
  <c r="B88" i="11"/>
  <c r="C89" i="11" l="1"/>
  <c r="E89" i="11" s="1"/>
  <c r="B89" i="11"/>
  <c r="D90" i="11"/>
  <c r="B90" i="11" l="1"/>
  <c r="D91" i="11"/>
  <c r="C90" i="11"/>
  <c r="E90" i="11" s="1"/>
  <c r="D92" i="11" l="1"/>
  <c r="B91" i="11"/>
  <c r="C91" i="11"/>
  <c r="E91" i="11" s="1"/>
  <c r="C92" i="11" l="1"/>
  <c r="E92" i="11" s="1"/>
  <c r="B92" i="11"/>
  <c r="D93" i="11"/>
  <c r="C93" i="11" l="1"/>
  <c r="E93" i="11" s="1"/>
  <c r="B93" i="11"/>
  <c r="D94" i="11"/>
  <c r="B94" i="11" l="1"/>
  <c r="D95" i="11"/>
  <c r="C94" i="11"/>
  <c r="E94" i="11" s="1"/>
  <c r="D96" i="11" l="1"/>
  <c r="C95" i="11"/>
  <c r="E95" i="11" s="1"/>
  <c r="B95" i="11"/>
  <c r="C96" i="11" l="1"/>
  <c r="E96" i="11" s="1"/>
  <c r="D97" i="11"/>
  <c r="B96" i="11"/>
  <c r="C97" i="11" l="1"/>
  <c r="E97" i="11" s="1"/>
  <c r="B97" i="11"/>
  <c r="D98" i="11"/>
  <c r="D99" i="11" l="1"/>
  <c r="B98" i="11"/>
  <c r="C98" i="11"/>
  <c r="E98" i="11" s="1"/>
  <c r="D100" i="11" l="1"/>
  <c r="B99" i="11"/>
  <c r="C99" i="11"/>
  <c r="E99" i="11" s="1"/>
  <c r="C100" i="11" l="1"/>
  <c r="E100" i="11" s="1"/>
  <c r="D101" i="11"/>
  <c r="B100" i="11"/>
  <c r="H100" i="11" s="1"/>
  <c r="D102" i="11" l="1"/>
  <c r="C101" i="11"/>
  <c r="E101" i="11" s="1"/>
  <c r="B101" i="11"/>
  <c r="D103" i="11" l="1"/>
  <c r="C102" i="11"/>
  <c r="E102" i="11" s="1"/>
  <c r="B102" i="11"/>
  <c r="C103" i="11" l="1"/>
  <c r="E103" i="11" s="1"/>
  <c r="D104" i="11"/>
  <c r="B103" i="11"/>
  <c r="C104" i="11" l="1"/>
  <c r="E104" i="11" s="1"/>
  <c r="B104" i="11"/>
  <c r="D105" i="11"/>
  <c r="B105" i="11" l="1"/>
  <c r="D106" i="11"/>
  <c r="C105" i="11"/>
  <c r="E105" i="11" s="1"/>
  <c r="D107" i="11" l="1"/>
  <c r="B106" i="11"/>
  <c r="C106" i="11"/>
  <c r="E106" i="11" s="1"/>
  <c r="C107" i="11" l="1"/>
  <c r="E107" i="11" s="1"/>
  <c r="B107" i="11"/>
  <c r="D108" i="11"/>
  <c r="C108" i="11" l="1"/>
  <c r="E108" i="11" s="1"/>
  <c r="B108" i="11"/>
  <c r="D109" i="11"/>
  <c r="B109" i="11" l="1"/>
  <c r="D110" i="11"/>
  <c r="C109" i="11"/>
  <c r="E109" i="11" s="1"/>
  <c r="D111" i="11" l="1"/>
  <c r="C110" i="11"/>
  <c r="E110" i="11" s="1"/>
  <c r="B110" i="11"/>
  <c r="C111" i="11" l="1"/>
  <c r="E111" i="11" s="1"/>
  <c r="D112" i="11"/>
  <c r="B111" i="11"/>
  <c r="C112" i="11" l="1"/>
  <c r="E112" i="11" s="1"/>
  <c r="B112" i="11"/>
  <c r="D113" i="11"/>
  <c r="B113" i="11" l="1"/>
  <c r="D114" i="11"/>
  <c r="C113" i="11"/>
  <c r="E113" i="11" s="1"/>
  <c r="D115" i="11" l="1"/>
  <c r="B114" i="11"/>
  <c r="C114" i="11"/>
  <c r="E114" i="11" s="1"/>
  <c r="C115" i="11" l="1"/>
  <c r="E115" i="11" s="1"/>
  <c r="B115" i="11"/>
  <c r="D116" i="11"/>
  <c r="C116" i="11" l="1"/>
  <c r="E116" i="11" s="1"/>
  <c r="B116" i="11"/>
  <c r="D117" i="11"/>
  <c r="B117" i="11" l="1"/>
  <c r="D118" i="11"/>
  <c r="C117" i="11"/>
  <c r="E117" i="11" s="1"/>
  <c r="D119" i="11" l="1"/>
  <c r="C118" i="11"/>
  <c r="E118" i="11" s="1"/>
  <c r="B118" i="11"/>
  <c r="E119" i="11" l="1"/>
  <c r="C119" i="11"/>
  <c r="D120" i="11"/>
  <c r="B119" i="11"/>
  <c r="C120" i="11" l="1"/>
  <c r="E120" i="11" s="1"/>
  <c r="B120" i="11"/>
  <c r="D121" i="11"/>
  <c r="E121" i="11" l="1"/>
  <c r="B121" i="11"/>
  <c r="D122" i="11"/>
  <c r="C121" i="11"/>
  <c r="E122" i="11" l="1"/>
  <c r="D123" i="11"/>
  <c r="B122" i="11"/>
  <c r="C122" i="11"/>
  <c r="C123" i="11" l="1"/>
  <c r="E123" i="11" s="1"/>
  <c r="B123" i="11"/>
  <c r="D124" i="11"/>
  <c r="C124" i="11" l="1"/>
  <c r="E124" i="11" s="1"/>
  <c r="B124" i="11"/>
  <c r="D125" i="11"/>
  <c r="E125" i="11" l="1"/>
  <c r="B125" i="11"/>
  <c r="D126" i="11"/>
  <c r="C125" i="11"/>
  <c r="E126" i="11" l="1"/>
  <c r="D127" i="11"/>
  <c r="C126" i="11"/>
  <c r="B126" i="11"/>
  <c r="C127" i="11" l="1"/>
  <c r="E127" i="11" s="1"/>
  <c r="D128" i="11"/>
  <c r="B127" i="11"/>
  <c r="C128" i="11" l="1"/>
  <c r="E128" i="11" s="1"/>
  <c r="B128" i="11"/>
  <c r="D129" i="11"/>
  <c r="E129" i="11" l="1"/>
  <c r="B129" i="11"/>
  <c r="D130" i="11"/>
  <c r="C129" i="11"/>
  <c r="E130" i="11" l="1"/>
  <c r="D131" i="11"/>
  <c r="B130" i="11"/>
  <c r="C130" i="11"/>
  <c r="C131" i="11" l="1"/>
  <c r="E131" i="11" s="1"/>
  <c r="B131" i="11"/>
  <c r="D132" i="11"/>
  <c r="D133" i="11" l="1"/>
  <c r="C132" i="11"/>
  <c r="E132" i="11" s="1"/>
  <c r="B132" i="11"/>
  <c r="C133" i="11" l="1"/>
  <c r="E133" i="11" s="1"/>
  <c r="B133" i="11"/>
  <c r="D134" i="11"/>
  <c r="B134" i="11" l="1"/>
  <c r="D135" i="11"/>
  <c r="C134" i="11"/>
  <c r="E134" i="11" s="1"/>
  <c r="D136" i="11" l="1"/>
  <c r="B135" i="11"/>
  <c r="C135" i="11"/>
  <c r="E135" i="11" s="1"/>
  <c r="C136" i="11" l="1"/>
  <c r="E136" i="11" s="1"/>
  <c r="B136" i="11"/>
  <c r="D137" i="11"/>
  <c r="C137" i="11" l="1"/>
  <c r="E137" i="11" s="1"/>
  <c r="B137" i="11"/>
  <c r="D138" i="11"/>
  <c r="B138" i="11" l="1"/>
  <c r="D139" i="11"/>
  <c r="C138" i="11"/>
  <c r="E138" i="11" s="1"/>
  <c r="D140" i="11" l="1"/>
  <c r="C139" i="11"/>
  <c r="E139" i="11" s="1"/>
  <c r="B139" i="11"/>
  <c r="C140" i="11" l="1"/>
  <c r="E140" i="11" s="1"/>
  <c r="D141" i="11"/>
  <c r="B140" i="11"/>
  <c r="C141" i="11" l="1"/>
  <c r="E141" i="11" s="1"/>
  <c r="B141" i="11"/>
  <c r="D142" i="11"/>
  <c r="B142" i="11" l="1"/>
  <c r="D143" i="11"/>
  <c r="C142" i="11"/>
  <c r="E142" i="11" s="1"/>
  <c r="D144" i="11" l="1"/>
  <c r="B143" i="11"/>
  <c r="C143" i="11"/>
  <c r="E143" i="11" s="1"/>
  <c r="C144" i="11" l="1"/>
  <c r="E144" i="11" s="1"/>
  <c r="B144" i="11"/>
  <c r="D145" i="11"/>
  <c r="C145" i="11" l="1"/>
  <c r="E145" i="11" s="1"/>
  <c r="B145" i="11"/>
  <c r="D146" i="11"/>
  <c r="B146" i="11" l="1"/>
  <c r="D147" i="11"/>
  <c r="C146" i="11"/>
  <c r="E146" i="11" s="1"/>
  <c r="D148" i="11" l="1"/>
  <c r="C147" i="11"/>
  <c r="E147" i="11" s="1"/>
  <c r="B147" i="11"/>
  <c r="C148" i="11" l="1"/>
  <c r="E148" i="11" s="1"/>
  <c r="D149" i="11"/>
  <c r="B148" i="11"/>
  <c r="C149" i="11" l="1"/>
  <c r="E149" i="11" s="1"/>
  <c r="B149" i="11"/>
  <c r="D150" i="11"/>
  <c r="B150" i="11" l="1"/>
  <c r="D151" i="11"/>
  <c r="C150" i="11"/>
  <c r="E150" i="11" s="1"/>
  <c r="D152" i="11" l="1"/>
  <c r="B151" i="11"/>
  <c r="C151" i="11"/>
  <c r="E151" i="11" s="1"/>
  <c r="C152" i="11" l="1"/>
  <c r="E152" i="11" s="1"/>
  <c r="B152" i="11"/>
  <c r="D153" i="11"/>
  <c r="C153" i="11" l="1"/>
  <c r="E153" i="11" s="1"/>
  <c r="B153" i="11"/>
  <c r="D154" i="11"/>
  <c r="B154" i="11" l="1"/>
  <c r="D155" i="11"/>
  <c r="C154" i="11"/>
  <c r="E154" i="11" s="1"/>
  <c r="D156" i="11" l="1"/>
  <c r="C155" i="11"/>
  <c r="E155" i="11" s="1"/>
  <c r="B155" i="11"/>
  <c r="C156" i="11" l="1"/>
  <c r="E156" i="11" s="1"/>
  <c r="D157" i="11"/>
  <c r="B156" i="11"/>
  <c r="C157" i="11" l="1"/>
  <c r="E157" i="11" s="1"/>
  <c r="B157" i="11"/>
  <c r="D158" i="11"/>
  <c r="B158" i="11" l="1"/>
  <c r="D159" i="11"/>
  <c r="C158" i="11"/>
  <c r="E158" i="11" s="1"/>
  <c r="D160" i="11" l="1"/>
  <c r="B159" i="11"/>
  <c r="C159" i="11"/>
  <c r="E159" i="11" s="1"/>
  <c r="C160" i="11" l="1"/>
  <c r="E160" i="11" s="1"/>
  <c r="B160" i="11"/>
  <c r="D161" i="11"/>
  <c r="C161" i="11" l="1"/>
  <c r="E161" i="11" s="1"/>
  <c r="B161" i="11"/>
  <c r="D162" i="11"/>
  <c r="B162" i="11" l="1"/>
  <c r="D163" i="11"/>
  <c r="C162" i="11"/>
  <c r="E162" i="11" s="1"/>
  <c r="D164" i="11" l="1"/>
  <c r="C163" i="11"/>
  <c r="E163" i="11" s="1"/>
  <c r="B163" i="11"/>
  <c r="C164" i="11" l="1"/>
  <c r="E164" i="11" s="1"/>
  <c r="D165" i="11"/>
  <c r="B164" i="11"/>
  <c r="C165" i="11" l="1"/>
  <c r="E165" i="11" s="1"/>
  <c r="D166" i="11"/>
  <c r="B165" i="11"/>
  <c r="H167" i="11" l="1"/>
  <c r="H165" i="11"/>
  <c r="C167" i="11"/>
  <c r="L168" i="11" s="1"/>
  <c r="C166" i="11"/>
  <c r="E166" i="11" s="1"/>
  <c r="E167" i="11" s="1"/>
  <c r="B166" i="11"/>
  <c r="F168" i="11" l="1"/>
  <c r="E170" i="11" l="1"/>
  <c r="E171" i="11" s="1"/>
  <c r="E172" i="11" s="1"/>
  <c r="E168" i="11"/>
  <c r="E176" i="11" l="1"/>
  <c r="L174" i="11"/>
  <c r="M174" i="11"/>
  <c r="N174" i="11" l="1"/>
  <c r="E180" i="11"/>
  <c r="E184" i="11" s="1"/>
  <c r="E188" i="11" s="1"/>
  <c r="E192" i="11" s="1"/>
  <c r="E196" i="11" s="1"/>
  <c r="E200" i="11" s="1"/>
  <c r="E232" i="11" s="1"/>
  <c r="E260" i="11" s="1"/>
  <c r="E264" i="11" s="1"/>
  <c r="E268" i="11" s="1"/>
  <c r="E272" i="11" s="1"/>
  <c r="E276" i="11" s="1"/>
  <c r="E280" i="11" s="1"/>
  <c r="E284" i="11" s="1"/>
  <c r="E288" i="11" s="1"/>
  <c r="E292" i="11" s="1"/>
  <c r="E296" i="11" s="1"/>
  <c r="E300" i="11" s="1"/>
  <c r="E304" i="11" s="1"/>
  <c r="E308" i="11" s="1"/>
  <c r="E312" i="11" s="1"/>
  <c r="E316" i="11" s="1"/>
  <c r="E320" i="11" s="1"/>
  <c r="E324" i="11" s="1"/>
  <c r="M175" i="11"/>
  <c r="L175" i="11"/>
  <c r="M176" i="11" l="1"/>
  <c r="M177" i="11"/>
  <c r="L179" i="11"/>
  <c r="N175" i="11"/>
  <c r="M181" i="11"/>
  <c r="M180" i="11"/>
  <c r="M182" i="11"/>
  <c r="L177" i="11"/>
  <c r="L182" i="11"/>
  <c r="L180" i="11"/>
  <c r="M178" i="11"/>
  <c r="M184" i="11"/>
  <c r="L181" i="11"/>
  <c r="L176" i="11"/>
  <c r="M179" i="11"/>
  <c r="N179" i="11" s="1"/>
  <c r="L178" i="11"/>
  <c r="L183" i="11"/>
  <c r="M183" i="11"/>
  <c r="L184" i="11"/>
  <c r="N176" i="11" l="1"/>
  <c r="N177" i="11"/>
  <c r="N180" i="11"/>
  <c r="N181" i="11"/>
  <c r="N184" i="11"/>
  <c r="N182" i="11"/>
  <c r="N178" i="11"/>
  <c r="N183" i="11"/>
</calcChain>
</file>

<file path=xl/connections.xml><?xml version="1.0" encoding="utf-8"?>
<connections xmlns="http://schemas.openxmlformats.org/spreadsheetml/2006/main">
  <connection id="1" name="BSM_PROD_MR2_Yield_Curve_Calculated_Rate_Levels_by_Rate_Type_FX_Base_Yield Curve Calculated Rate Levels by Rate Type" description="BSM_PROD_MR2_Yield_Curve_Calculated_Rate_Levels_by_Rate_Type_FX_Base_Yield Curve Calculated Rate Levels by Rate Type" type="5" refreshedVersion="5">
    <dbPr connection="Provider=MSOLAP.7;Persist Security Info=True;Initial Catalog=BSM_PROD_MR2_Yield_Curve_Calculated_Rate_Levels_by_Rate_Type_FX_Base;Data Source=prd-qrmbsmsql01;Auto Synch Period=10000;Cache Ratio=1;MDX Compatibility=1;Safety Options=2;MDX Missing Member Mode=Error;Disable Prefetch Facts=True;Update Isolation Level=2" command="Yield Curve Calculated Rate Levels by Rate Type" commandType="1"/>
    <olapPr sendLocale="1" rowDrillCount="1000" serverFill="0" serverFont="0" serverFontColor="0"/>
  </connection>
</connections>
</file>

<file path=xl/sharedStrings.xml><?xml version="1.0" encoding="utf-8"?>
<sst xmlns="http://schemas.openxmlformats.org/spreadsheetml/2006/main" count="274" uniqueCount="237">
  <si>
    <t>DATE</t>
  </si>
  <si>
    <t>FOMC Meeting Dates</t>
  </si>
  <si>
    <t>M1</t>
  </si>
  <si>
    <t>M2</t>
  </si>
  <si>
    <t>M3</t>
  </si>
  <si>
    <t>M4</t>
  </si>
  <si>
    <t>M5</t>
  </si>
  <si>
    <t>Days Rate to be applied</t>
  </si>
  <si>
    <t>Date</t>
  </si>
  <si>
    <t>SR3-1</t>
  </si>
  <si>
    <t>SR3-0</t>
  </si>
  <si>
    <t>SR3-2</t>
  </si>
  <si>
    <t>SR3-3</t>
  </si>
  <si>
    <t>SOFR RATE
(PERCENT)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</si>
  <si>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</si>
  <si>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</si>
  <si>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</si>
  <si>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</si>
  <si>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</si>
  <si>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</si>
  <si>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</si>
  <si>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</si>
  <si>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</si>
  <si>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</si>
  <si>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</si>
  <si>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</si>
  <si>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2y3m</t>
  </si>
  <si>
    <t>15y</t>
  </si>
  <si>
    <t>2y6m</t>
  </si>
  <si>
    <t>20y</t>
  </si>
  <si>
    <t>2y9m</t>
  </si>
  <si>
    <t>25y</t>
  </si>
  <si>
    <t>30y</t>
  </si>
  <si>
    <t>3y3m</t>
  </si>
  <si>
    <t>35y</t>
  </si>
  <si>
    <t>3y6m</t>
  </si>
  <si>
    <t>40y</t>
  </si>
  <si>
    <t>3y9m</t>
  </si>
  <si>
    <t>4y3m</t>
  </si>
  <si>
    <t>4y6m</t>
  </si>
  <si>
    <t>4y9m</t>
  </si>
  <si>
    <t>5y3m</t>
  </si>
  <si>
    <t>5y6m</t>
  </si>
  <si>
    <t>5y9m</t>
  </si>
  <si>
    <t>6y3m</t>
  </si>
  <si>
    <t>6y6m</t>
  </si>
  <si>
    <t>6y9m</t>
  </si>
  <si>
    <t>7y3m</t>
  </si>
  <si>
    <t>7y6m</t>
  </si>
  <si>
    <t>7y9m</t>
  </si>
  <si>
    <t>8y3m</t>
  </si>
  <si>
    <t>8y6m</t>
  </si>
  <si>
    <t>8y9m</t>
  </si>
  <si>
    <t>9y3m</t>
  </si>
  <si>
    <t>9y6m</t>
  </si>
  <si>
    <t>9y9m</t>
  </si>
  <si>
    <t>10y3m</t>
  </si>
  <si>
    <t>10y6m</t>
  </si>
  <si>
    <t>10y9m</t>
  </si>
  <si>
    <t>11y3m</t>
  </si>
  <si>
    <t>11y6m</t>
  </si>
  <si>
    <t>11y9m</t>
  </si>
  <si>
    <t>12y3m</t>
  </si>
  <si>
    <t>12y6m</t>
  </si>
  <si>
    <t>12y9m</t>
  </si>
  <si>
    <t>13y</t>
  </si>
  <si>
    <t>13y3m</t>
  </si>
  <si>
    <t>13y6m</t>
  </si>
  <si>
    <t>13y9m</t>
  </si>
  <si>
    <t>14y</t>
  </si>
  <si>
    <t>14y3m</t>
  </si>
  <si>
    <t>14y6m</t>
  </si>
  <si>
    <t>14y9m</t>
  </si>
  <si>
    <t>15y3m</t>
  </si>
  <si>
    <t>15y6m</t>
  </si>
  <si>
    <t>15y9m</t>
  </si>
  <si>
    <t>16y</t>
  </si>
  <si>
    <t>16y3m</t>
  </si>
  <si>
    <t>16y6m</t>
  </si>
  <si>
    <t>16y9m</t>
  </si>
  <si>
    <t>17y</t>
  </si>
  <si>
    <t>17y3m</t>
  </si>
  <si>
    <t>17y6m</t>
  </si>
  <si>
    <t>17y9m</t>
  </si>
  <si>
    <t>18y</t>
  </si>
  <si>
    <t>18y3m</t>
  </si>
  <si>
    <t>18y6m</t>
  </si>
  <si>
    <t>18y9m</t>
  </si>
  <si>
    <t>19y</t>
  </si>
  <si>
    <t>19y3m</t>
  </si>
  <si>
    <t>19y6m</t>
  </si>
  <si>
    <t>19y9m</t>
  </si>
  <si>
    <t>20y3m</t>
  </si>
  <si>
    <t>20y6m</t>
  </si>
  <si>
    <t>20y9m</t>
  </si>
  <si>
    <t>21y</t>
  </si>
  <si>
    <t>21y3m</t>
  </si>
  <si>
    <t>21y6m</t>
  </si>
  <si>
    <t>21y9m</t>
  </si>
  <si>
    <t>22y</t>
  </si>
  <si>
    <t>22y3m</t>
  </si>
  <si>
    <t>22y6m</t>
  </si>
  <si>
    <t>22y9m</t>
  </si>
  <si>
    <t>23y</t>
  </si>
  <si>
    <t>23y3m</t>
  </si>
  <si>
    <t>23y6m</t>
  </si>
  <si>
    <t>23y9m</t>
  </si>
  <si>
    <t>24y</t>
  </si>
  <si>
    <t>24y3m</t>
  </si>
  <si>
    <t>24y6m</t>
  </si>
  <si>
    <t>24y9m</t>
  </si>
  <si>
    <t>25y3m</t>
  </si>
  <si>
    <t>25y6m</t>
  </si>
  <si>
    <t>25y9m</t>
  </si>
  <si>
    <t>26y</t>
  </si>
  <si>
    <t>26y3m</t>
  </si>
  <si>
    <t>26y6m</t>
  </si>
  <si>
    <t>26y9m</t>
  </si>
  <si>
    <t>27y</t>
  </si>
  <si>
    <t>27y3m</t>
  </si>
  <si>
    <t>27y6m</t>
  </si>
  <si>
    <t>27y9m</t>
  </si>
  <si>
    <t>28y</t>
  </si>
  <si>
    <t>28y3m</t>
  </si>
  <si>
    <t>28y6m</t>
  </si>
  <si>
    <t>28y9m</t>
  </si>
  <si>
    <t>29y</t>
  </si>
  <si>
    <t>29y3m</t>
  </si>
  <si>
    <t>29y6m</t>
  </si>
  <si>
    <t>29y9m</t>
  </si>
  <si>
    <t>30y3m</t>
  </si>
  <si>
    <t>30y6m</t>
  </si>
  <si>
    <t>30y9m</t>
  </si>
  <si>
    <t>31y</t>
  </si>
  <si>
    <t>31y3m</t>
  </si>
  <si>
    <t>31y6m</t>
  </si>
  <si>
    <t>31y9m</t>
  </si>
  <si>
    <t>32y</t>
  </si>
  <si>
    <t>32y3m</t>
  </si>
  <si>
    <t>32y6m</t>
  </si>
  <si>
    <t>32y9m</t>
  </si>
  <si>
    <t>33y</t>
  </si>
  <si>
    <t>33y3m</t>
  </si>
  <si>
    <t>33y6m</t>
  </si>
  <si>
    <t>33y9m</t>
  </si>
  <si>
    <t>34y</t>
  </si>
  <si>
    <t>34y3m</t>
  </si>
  <si>
    <t>34y6m</t>
  </si>
  <si>
    <t>34y9m</t>
  </si>
  <si>
    <t>35y3m</t>
  </si>
  <si>
    <t>35y6m</t>
  </si>
  <si>
    <t>35y9m</t>
  </si>
  <si>
    <t>36y</t>
  </si>
  <si>
    <t>36y3m</t>
  </si>
  <si>
    <t>36y6m</t>
  </si>
  <si>
    <t>36y9m</t>
  </si>
  <si>
    <t>37y</t>
  </si>
  <si>
    <t>37y3m</t>
  </si>
  <si>
    <t>37y6m</t>
  </si>
  <si>
    <t>37y9m</t>
  </si>
  <si>
    <t>38y</t>
  </si>
  <si>
    <t>38y3m</t>
  </si>
  <si>
    <t>38y6m</t>
  </si>
  <si>
    <t>38y9m</t>
  </si>
  <si>
    <t>39y</t>
  </si>
  <si>
    <t>39y3m</t>
  </si>
  <si>
    <t>39y6m</t>
  </si>
  <si>
    <t>39y9m</t>
  </si>
  <si>
    <t>Month</t>
  </si>
  <si>
    <t>Discount Factor</t>
  </si>
  <si>
    <t>PV Fixed</t>
  </si>
  <si>
    <t>PV Floating</t>
  </si>
  <si>
    <t>SR3-4</t>
  </si>
  <si>
    <t>SR3-5</t>
  </si>
  <si>
    <t>SR3-6</t>
  </si>
  <si>
    <t>diff</t>
  </si>
  <si>
    <t>Futures Price</t>
  </si>
  <si>
    <t>Implied SOFR Fwd</t>
  </si>
  <si>
    <t>SOFR Swaps</t>
  </si>
  <si>
    <t>Months</t>
  </si>
  <si>
    <t>3M SOFR Futures</t>
  </si>
  <si>
    <t>100-Futures</t>
  </si>
  <si>
    <t>Par Swap Rate</t>
  </si>
  <si>
    <t>Term</t>
  </si>
  <si>
    <t>Inputs Tab</t>
  </si>
  <si>
    <t>Benchmarking Tab</t>
  </si>
  <si>
    <t>SOFR Futures</t>
  </si>
  <si>
    <t>Historical SOFR Rate</t>
  </si>
  <si>
    <t>https://apps.newyorkfed.org/markets/autorates/SOFR</t>
  </si>
  <si>
    <t xml:space="preserve">Source: </t>
  </si>
  <si>
    <t>https://www.cmegroup.com/trading/interest-rates/stir/three-month-sofr.html</t>
  </si>
  <si>
    <t>Source: Bloomberg</t>
  </si>
  <si>
    <t>24 Month</t>
  </si>
  <si>
    <t>36 Month</t>
  </si>
  <si>
    <t>48 Month</t>
  </si>
  <si>
    <t>60 Month</t>
  </si>
  <si>
    <t>84 Month</t>
  </si>
  <si>
    <t>120 Month</t>
  </si>
  <si>
    <t>144 Month</t>
  </si>
  <si>
    <t>180 Month</t>
  </si>
  <si>
    <t>240 Month</t>
  </si>
  <si>
    <t>360 Month</t>
  </si>
  <si>
    <t>480 Month</t>
  </si>
  <si>
    <t>Par Swap Rate(%)</t>
  </si>
  <si>
    <t>Market Data as of</t>
  </si>
  <si>
    <t xml:space="preserve"> 4/30/2020</t>
  </si>
  <si>
    <t>SOFR Fixing(%)</t>
  </si>
  <si>
    <t>SR3-0  Settlement -20200617</t>
  </si>
  <si>
    <t>SR3-1  Settlement -20200916</t>
  </si>
  <si>
    <t>SR3-2  Settlement -20201216</t>
  </si>
  <si>
    <t>SR3-3  Settlement -20210317</t>
  </si>
  <si>
    <t>SR3-4  Settlement -20210616</t>
  </si>
  <si>
    <t>SR3-5  Settlement -20210915</t>
  </si>
  <si>
    <t>SR3-6  Settlement -20211215</t>
  </si>
  <si>
    <t>3M SOFR Futures(SR3)</t>
  </si>
  <si>
    <t>dt</t>
  </si>
  <si>
    <t>SOFR Fwd at time T</t>
  </si>
  <si>
    <t>SOFR Fwd at time T+1</t>
  </si>
  <si>
    <t>Compounded Fwd</t>
  </si>
  <si>
    <t>Historical Realized SOFR Rate</t>
  </si>
  <si>
    <t>Compounding Factor</t>
  </si>
  <si>
    <t>Realized SOFR</t>
  </si>
  <si>
    <t>Swap Dates</t>
  </si>
  <si>
    <t>Term (days)</t>
  </si>
  <si>
    <t xml:space="preserve">100- Futures </t>
  </si>
  <si>
    <t>BBG Fwd</t>
  </si>
  <si>
    <t>Excel Replica</t>
  </si>
  <si>
    <t>MainTab</t>
  </si>
  <si>
    <t>100- Futures</t>
  </si>
  <si>
    <t>Futures Segment</t>
  </si>
  <si>
    <t>Swap Segment</t>
  </si>
  <si>
    <t>The red cells in column G are the target variables to solve to make sure SOFR swaps are priced at par.</t>
  </si>
  <si>
    <t>Blue cells in column G are the forward rates implied from SOFR futures; Blue cells in column H are the compounded SOFR rate for each horizon covered by the SOFR futures</t>
  </si>
  <si>
    <t xml:space="preserve">SOFR Curve Bootstrapping </t>
  </si>
  <si>
    <t>The orange cells in column H are the annually compounded floating leg value</t>
  </si>
  <si>
    <t>Excel vs Bloomgberg SOFR Forward Rate Benchmarking using Raw Method</t>
  </si>
  <si>
    <r>
      <t xml:space="preserve">FOMC meeting dates </t>
    </r>
    <r>
      <rPr>
        <sz val="11"/>
        <color theme="1"/>
        <rFont val="Calibri"/>
        <family val="2"/>
        <scheme val="minor"/>
      </rPr>
      <t>(listed just for reference, as one may include more dynamics into the forward rates as SOFR forwards are very likely to jump post FOMC meetings)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</si>
</sst>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"/>
    <numFmt numFmtId="165" formatCode="0.000"/>
    <numFmt numFmtId="166" formatCode="0.0000%"/>
    <numFmt numFmtId="167" formatCode="0.000000"/>
    <numFmt numFmtId="168" formatCode="_([$$-409]* #,##0.00_);_([$$-409]* \(#,##0.00\);_([$$-409]* &quot;-&quot;??_);_(@_)"/>
    <numFmt numFmtId="169" formatCode="_(* #,##0.000000_);_(* \(#,##0.000000\);_(* &quot;-&quot;??_);_(@_)"/>
    <numFmt numFmtId="170" formatCode="_(* #,##0.0000_);_(* \(#,##0.0000\);_(* &quot;-&quot;??_);_(@_)"/>
    <numFmt numFmtId="171" formatCode="0.00000000"/>
    <numFmt numFmtId="172" formatCode="0.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</font>
    <font>
      <sz val="11"/>
      <color rgb="FF000000"/>
      <name val="Calibri"/>
      <family val="2"/>
    </font>
    <font>
      <b/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rial Black"/>
      <family val="2"/>
    </font>
    <font>
      <b/>
      <sz val="20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4"/>
      <color theme="1"/>
      <name val="Arial Black"/>
      <family val="2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31">
    <xf numFmtId="0" fontId="0" fillId="0" borderId="0" xfId="0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 applyFill="1"/>
    <xf numFmtId="0" fontId="2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0" fillId="0" borderId="0" xfId="0"/>
    <xf numFmtId="14" fontId="0" fillId="0" borderId="0" xfId="0" applyNumberFormat="1"/>
    <xf numFmtId="167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Alignment="1">
      <alignment horizontal="center"/>
    </xf>
    <xf numFmtId="0" fontId="3" fillId="0" borderId="1" xfId="3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44" fontId="0" fillId="0" borderId="1" xfId="18" applyNumberFormat="1" applyFont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4" fontId="10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7" borderId="1" xfId="0" applyFont="1" applyFill="1" applyBorder="1" applyAlignment="1">
      <alignment horizontal="center" vertical="center"/>
    </xf>
    <xf numFmtId="0" fontId="11" fillId="2" borderId="7" xfId="0" applyFont="1" applyFill="1" applyBorder="1"/>
    <xf numFmtId="0" fontId="0" fillId="0" borderId="8" xfId="0" applyBorder="1"/>
    <xf numFmtId="0" fontId="9" fillId="0" borderId="9" xfId="0" applyFont="1" applyFill="1" applyBorder="1"/>
    <xf numFmtId="0" fontId="0" fillId="0" borderId="10" xfId="0" applyBorder="1"/>
    <xf numFmtId="0" fontId="8" fillId="0" borderId="9" xfId="19" applyFont="1" applyBorder="1"/>
    <xf numFmtId="0" fontId="0" fillId="0" borderId="9" xfId="0" applyBorder="1"/>
    <xf numFmtId="0" fontId="2" fillId="7" borderId="2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165" fontId="0" fillId="0" borderId="11" xfId="0" applyNumberFormat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Alignment="1">
      <alignment horizontal="left"/>
    </xf>
    <xf numFmtId="0" fontId="0" fillId="0" borderId="12" xfId="0" applyBorder="1"/>
    <xf numFmtId="0" fontId="11" fillId="2" borderId="12" xfId="0" applyFont="1" applyFill="1" applyBorder="1"/>
    <xf numFmtId="0" fontId="9" fillId="0" borderId="0" xfId="0" applyFont="1" applyFill="1" applyBorder="1"/>
    <xf numFmtId="0" fontId="8" fillId="0" borderId="0" xfId="19" applyFont="1" applyBorder="1"/>
    <xf numFmtId="14" fontId="10" fillId="0" borderId="2" xfId="0" applyNumberFormat="1" applyFont="1" applyBorder="1" applyAlignment="1">
      <alignment horizontal="center"/>
    </xf>
    <xf numFmtId="0" fontId="11" fillId="2" borderId="0" xfId="0" applyFont="1" applyFill="1" applyBorder="1"/>
    <xf numFmtId="0" fontId="2" fillId="0" borderId="0" xfId="0" applyFont="1" applyBorder="1"/>
    <xf numFmtId="2" fontId="0" fillId="0" borderId="11" xfId="0" applyNumberFormat="1" applyBorder="1" applyAlignment="1">
      <alignment horizontal="center"/>
    </xf>
    <xf numFmtId="14" fontId="10" fillId="0" borderId="3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0" fillId="0" borderId="13" xfId="0" applyBorder="1"/>
    <xf numFmtId="0" fontId="0" fillId="7" borderId="4" xfId="0" applyFont="1" applyFill="1" applyBorder="1" applyAlignment="1">
      <alignment horizontal="center" vertical="center"/>
    </xf>
    <xf numFmtId="2" fontId="0" fillId="0" borderId="14" xfId="0" applyNumberForma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" xfId="3" applyFont="1" applyFill="1" applyBorder="1" applyAlignment="1">
      <alignment horizontal="center"/>
    </xf>
    <xf numFmtId="0" fontId="4" fillId="0" borderId="1" xfId="2" applyNumberFormat="1" applyFont="1" applyBorder="1" applyAlignment="1">
      <alignment horizontal="center" vertical="top" wrapText="1"/>
    </xf>
    <xf numFmtId="0" fontId="2" fillId="7" borderId="7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 wrapText="1"/>
    </xf>
    <xf numFmtId="170" fontId="0" fillId="0" borderId="1" xfId="17" applyNumberFormat="1" applyFont="1" applyBorder="1" applyAlignment="1">
      <alignment horizontal="center"/>
    </xf>
    <xf numFmtId="172" fontId="0" fillId="6" borderId="0" xfId="0" applyNumberFormat="1" applyFill="1" applyBorder="1" applyAlignment="1">
      <alignment horizontal="center"/>
    </xf>
    <xf numFmtId="172" fontId="0" fillId="2" borderId="0" xfId="0" applyNumberFormat="1" applyFill="1" applyBorder="1" applyAlignment="1">
      <alignment horizontal="center"/>
    </xf>
    <xf numFmtId="172" fontId="0" fillId="4" borderId="0" xfId="0" applyNumberForma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2" fillId="7" borderId="6" xfId="0" applyFont="1" applyFill="1" applyBorder="1" applyAlignment="1">
      <alignment horizontal="center" vertical="center"/>
    </xf>
    <xf numFmtId="167" fontId="0" fillId="0" borderId="17" xfId="17" applyNumberFormat="1" applyFont="1" applyFill="1" applyBorder="1" applyAlignment="1">
      <alignment horizontal="center"/>
    </xf>
    <xf numFmtId="172" fontId="0" fillId="0" borderId="5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171" fontId="0" fillId="0" borderId="6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2" fillId="6" borderId="19" xfId="0" applyFont="1" applyFill="1" applyBorder="1" applyAlignment="1">
      <alignment horizontal="center"/>
    </xf>
    <xf numFmtId="0" fontId="2" fillId="6" borderId="15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72" fontId="0" fillId="0" borderId="10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7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0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0" fontId="2" fillId="7" borderId="19" xfId="0" applyFont="1" applyFill="1" applyBorder="1" applyAlignment="1">
      <alignment horizontal="center" vertical="center"/>
    </xf>
    <xf numFmtId="0" fontId="12" fillId="6" borderId="19" xfId="0" applyFont="1" applyFill="1" applyBorder="1" applyAlignment="1">
      <alignment horizontal="center"/>
    </xf>
    <xf numFmtId="0" fontId="12" fillId="2" borderId="19" xfId="0" applyFont="1" applyFill="1" applyBorder="1" applyAlignment="1">
      <alignment horizontal="center"/>
    </xf>
    <xf numFmtId="169" fontId="2" fillId="7" borderId="15" xfId="17" applyNumberFormat="1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170" fontId="2" fillId="7" borderId="15" xfId="17" applyNumberFormat="1" applyFont="1" applyFill="1" applyBorder="1" applyAlignment="1">
      <alignment vertical="center"/>
    </xf>
    <xf numFmtId="0" fontId="2" fillId="7" borderId="21" xfId="0" applyFont="1" applyFill="1" applyBorder="1" applyAlignment="1">
      <alignment horizontal="center" vertical="center"/>
    </xf>
    <xf numFmtId="14" fontId="0" fillId="0" borderId="2" xfId="0" applyNumberFormat="1" applyBorder="1" applyAlignment="1">
      <alignment horizontal="center"/>
    </xf>
    <xf numFmtId="166" fontId="0" fillId="0" borderId="10" xfId="0" applyNumberFormat="1" applyFill="1" applyBorder="1" applyAlignment="1">
      <alignment horizontal="center"/>
    </xf>
    <xf numFmtId="14" fontId="0" fillId="3" borderId="9" xfId="0" applyNumberFormat="1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14" fontId="0" fillId="6" borderId="2" xfId="0" applyNumberFormat="1" applyFill="1" applyBorder="1" applyAlignment="1">
      <alignment horizontal="center"/>
    </xf>
    <xf numFmtId="167" fontId="0" fillId="0" borderId="10" xfId="17" applyNumberFormat="1" applyFont="1" applyFill="1" applyBorder="1" applyAlignment="1">
      <alignment horizontal="center"/>
    </xf>
    <xf numFmtId="167" fontId="0" fillId="6" borderId="22" xfId="0" applyNumberFormat="1" applyFill="1" applyBorder="1" applyAlignment="1">
      <alignment horizontal="center"/>
    </xf>
    <xf numFmtId="14" fontId="0" fillId="0" borderId="2" xfId="0" applyNumberFormat="1" applyFill="1" applyBorder="1" applyAlignment="1">
      <alignment horizontal="center"/>
    </xf>
    <xf numFmtId="166" fontId="1" fillId="5" borderId="22" xfId="1" applyNumberFormat="1" applyFont="1" applyFill="1" applyBorder="1" applyAlignment="1">
      <alignment horizontal="center"/>
    </xf>
    <xf numFmtId="166" fontId="0" fillId="5" borderId="22" xfId="1" applyNumberFormat="1" applyFont="1" applyFill="1" applyBorder="1" applyAlignment="1">
      <alignment horizontal="center"/>
    </xf>
    <xf numFmtId="166" fontId="0" fillId="0" borderId="22" xfId="0" applyNumberFormat="1" applyFill="1" applyBorder="1" applyAlignment="1">
      <alignment horizontal="center"/>
    </xf>
    <xf numFmtId="166" fontId="0" fillId="0" borderId="22" xfId="1" applyNumberFormat="1" applyFont="1" applyFill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70" fontId="0" fillId="0" borderId="4" xfId="17" applyNumberFormat="1" applyFont="1" applyBorder="1" applyAlignment="1">
      <alignment horizontal="center"/>
    </xf>
    <xf numFmtId="172" fontId="0" fillId="2" borderId="13" xfId="0" applyNumberFormat="1" applyFill="1" applyBorder="1" applyAlignment="1">
      <alignment horizontal="center"/>
    </xf>
    <xf numFmtId="167" fontId="0" fillId="0" borderId="23" xfId="17" applyNumberFormat="1" applyFont="1" applyFill="1" applyBorder="1" applyAlignment="1">
      <alignment horizontal="center"/>
    </xf>
    <xf numFmtId="166" fontId="0" fillId="5" borderId="24" xfId="1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left" wrapText="1"/>
    </xf>
    <xf numFmtId="0" fontId="10" fillId="4" borderId="1" xfId="0" applyFont="1" applyFill="1" applyBorder="1" applyAlignment="1">
      <alignment horizontal="left" wrapText="1"/>
    </xf>
    <xf numFmtId="0" fontId="10" fillId="5" borderId="1" xfId="0" applyFont="1" applyFill="1" applyBorder="1" applyAlignment="1">
      <alignment horizontal="left" wrapText="1"/>
    </xf>
    <xf numFmtId="0" fontId="13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13" fillId="5" borderId="5" xfId="0" applyFont="1" applyFill="1" applyBorder="1" applyAlignment="1">
      <alignment horizontal="center"/>
    </xf>
    <xf numFmtId="0" fontId="14" fillId="7" borderId="0" xfId="0" applyFont="1" applyFill="1"/>
    <xf numFmtId="0" fontId="2" fillId="0" borderId="5" xfId="0" applyFont="1" applyBorder="1" applyAlignment="1">
      <alignment horizontal="left"/>
    </xf>
    <xf numFmtId="0" fontId="0" fillId="0" borderId="6" xfId="0" applyBorder="1" applyAlignment="1"/>
    <xf numFmtId="0" fontId="2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left" wrapText="1"/>
    </xf>
    <xf numFmtId="0" fontId="0" fillId="0" borderId="6" xfId="0" applyBorder="1" applyAlignment="1">
      <alignment wrapText="1"/>
    </xf>
    <xf numFmtId="0" fontId="0" fillId="0" borderId="1" xfId="0" applyFill="1" applyBorder="1" applyAlignment="1">
      <alignment horizontal="center"/>
    </xf>
    <xf numFmtId="172" fontId="15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20">
    <cellStyle name="Comma" xfId="17" builtinId="3"/>
    <cellStyle name="Currency" xfId="18" builtinId="4"/>
    <cellStyle name="Hyperlink" xfId="19" builtinId="8"/>
    <cellStyle name="Normal" xfId="0" builtinId="0"/>
    <cellStyle name="Normal 2" xfId="2"/>
    <cellStyle name="Normal 2 2" xfId="4"/>
    <cellStyle name="Normal 2 2 2" xfId="13"/>
    <cellStyle name="Normal 2 3" xfId="5"/>
    <cellStyle name="Normal 2 4" xfId="12"/>
    <cellStyle name="Normal 3" xfId="6"/>
    <cellStyle name="Normal 3 2" xfId="14"/>
    <cellStyle name="Normal 4" xfId="7"/>
    <cellStyle name="Normal 5" xfId="3"/>
    <cellStyle name="Normal 6" xfId="11"/>
    <cellStyle name="Percent" xfId="1" builtinId="5"/>
    <cellStyle name="Percent 2" xfId="9"/>
    <cellStyle name="Percent 2 2" xfId="16"/>
    <cellStyle name="Percent 3" xfId="8"/>
    <cellStyle name="Percent 4" xfId="10"/>
    <cellStyle name="Percent 5" xf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8856710728022162E-2"/>
          <c:y val="0.19480351414406533"/>
          <c:w val="0.85749356134021582"/>
          <c:h val="0.54567512394284046"/>
        </c:manualLayout>
      </c:layout>
      <c:lineChart>
        <c:grouping val="standard"/>
        <c:varyColors val="0"/>
        <c:ser>
          <c:idx val="0"/>
          <c:order val="0"/>
          <c:tx>
            <c:v>SOFR Forward Curve</c:v>
          </c:tx>
          <c:marker>
            <c:symbol val="none"/>
          </c:marker>
          <c:cat>
            <c:numRef>
              <c:f>Main!$D$2:$D$324</c:f>
              <c:numCache>
                <c:formatCode>m/d/yyyy</c:formatCode>
                <c:ptCount val="323"/>
                <c:pt idx="0">
                  <c:v>43951</c:v>
                </c:pt>
                <c:pt idx="1">
                  <c:v>43952</c:v>
                </c:pt>
                <c:pt idx="2">
                  <c:v>43955</c:v>
                </c:pt>
                <c:pt idx="3">
                  <c:v>43956</c:v>
                </c:pt>
                <c:pt idx="4">
                  <c:v>43957</c:v>
                </c:pt>
                <c:pt idx="5">
                  <c:v>43958</c:v>
                </c:pt>
                <c:pt idx="6">
                  <c:v>43959</c:v>
                </c:pt>
                <c:pt idx="7">
                  <c:v>43962</c:v>
                </c:pt>
                <c:pt idx="8">
                  <c:v>43963</c:v>
                </c:pt>
                <c:pt idx="9">
                  <c:v>43964</c:v>
                </c:pt>
                <c:pt idx="10">
                  <c:v>43965</c:v>
                </c:pt>
                <c:pt idx="11">
                  <c:v>43966</c:v>
                </c:pt>
                <c:pt idx="12">
                  <c:v>43969</c:v>
                </c:pt>
                <c:pt idx="13">
                  <c:v>43970</c:v>
                </c:pt>
                <c:pt idx="14">
                  <c:v>43971</c:v>
                </c:pt>
                <c:pt idx="15">
                  <c:v>43972</c:v>
                </c:pt>
                <c:pt idx="16">
                  <c:v>43973</c:v>
                </c:pt>
                <c:pt idx="17">
                  <c:v>43976</c:v>
                </c:pt>
                <c:pt idx="18">
                  <c:v>43977</c:v>
                </c:pt>
                <c:pt idx="19">
                  <c:v>43978</c:v>
                </c:pt>
                <c:pt idx="20">
                  <c:v>43979</c:v>
                </c:pt>
                <c:pt idx="21">
                  <c:v>43980</c:v>
                </c:pt>
                <c:pt idx="22">
                  <c:v>43983</c:v>
                </c:pt>
                <c:pt idx="23">
                  <c:v>43984</c:v>
                </c:pt>
                <c:pt idx="24">
                  <c:v>43985</c:v>
                </c:pt>
                <c:pt idx="25">
                  <c:v>43986</c:v>
                </c:pt>
                <c:pt idx="26">
                  <c:v>43987</c:v>
                </c:pt>
                <c:pt idx="27">
                  <c:v>43990</c:v>
                </c:pt>
                <c:pt idx="28">
                  <c:v>43991</c:v>
                </c:pt>
                <c:pt idx="29">
                  <c:v>43992</c:v>
                </c:pt>
                <c:pt idx="30">
                  <c:v>43993</c:v>
                </c:pt>
                <c:pt idx="31">
                  <c:v>43994</c:v>
                </c:pt>
                <c:pt idx="32">
                  <c:v>43997</c:v>
                </c:pt>
                <c:pt idx="33">
                  <c:v>43998</c:v>
                </c:pt>
                <c:pt idx="34">
                  <c:v>43999</c:v>
                </c:pt>
                <c:pt idx="35">
                  <c:v>44000</c:v>
                </c:pt>
                <c:pt idx="36">
                  <c:v>44001</c:v>
                </c:pt>
                <c:pt idx="37">
                  <c:v>44004</c:v>
                </c:pt>
                <c:pt idx="38">
                  <c:v>44005</c:v>
                </c:pt>
                <c:pt idx="39">
                  <c:v>44006</c:v>
                </c:pt>
                <c:pt idx="40">
                  <c:v>44007</c:v>
                </c:pt>
                <c:pt idx="41">
                  <c:v>44008</c:v>
                </c:pt>
                <c:pt idx="42">
                  <c:v>44011</c:v>
                </c:pt>
                <c:pt idx="43">
                  <c:v>44012</c:v>
                </c:pt>
                <c:pt idx="44">
                  <c:v>44013</c:v>
                </c:pt>
                <c:pt idx="45">
                  <c:v>44014</c:v>
                </c:pt>
                <c:pt idx="46">
                  <c:v>44015</c:v>
                </c:pt>
                <c:pt idx="47">
                  <c:v>44018</c:v>
                </c:pt>
                <c:pt idx="48">
                  <c:v>44019</c:v>
                </c:pt>
                <c:pt idx="49">
                  <c:v>44020</c:v>
                </c:pt>
                <c:pt idx="50">
                  <c:v>44021</c:v>
                </c:pt>
                <c:pt idx="51">
                  <c:v>44022</c:v>
                </c:pt>
                <c:pt idx="52">
                  <c:v>44025</c:v>
                </c:pt>
                <c:pt idx="53">
                  <c:v>44026</c:v>
                </c:pt>
                <c:pt idx="54">
                  <c:v>44027</c:v>
                </c:pt>
                <c:pt idx="55">
                  <c:v>44028</c:v>
                </c:pt>
                <c:pt idx="56">
                  <c:v>44029</c:v>
                </c:pt>
                <c:pt idx="57">
                  <c:v>44032</c:v>
                </c:pt>
                <c:pt idx="58">
                  <c:v>44033</c:v>
                </c:pt>
                <c:pt idx="59">
                  <c:v>44034</c:v>
                </c:pt>
                <c:pt idx="60">
                  <c:v>44035</c:v>
                </c:pt>
                <c:pt idx="61">
                  <c:v>44036</c:v>
                </c:pt>
                <c:pt idx="62">
                  <c:v>44039</c:v>
                </c:pt>
                <c:pt idx="63">
                  <c:v>44040</c:v>
                </c:pt>
                <c:pt idx="64">
                  <c:v>44041</c:v>
                </c:pt>
                <c:pt idx="65">
                  <c:v>44042</c:v>
                </c:pt>
                <c:pt idx="66">
                  <c:v>44043</c:v>
                </c:pt>
                <c:pt idx="67">
                  <c:v>44046</c:v>
                </c:pt>
                <c:pt idx="68">
                  <c:v>44047</c:v>
                </c:pt>
                <c:pt idx="69">
                  <c:v>44048</c:v>
                </c:pt>
                <c:pt idx="70">
                  <c:v>44049</c:v>
                </c:pt>
                <c:pt idx="71">
                  <c:v>44050</c:v>
                </c:pt>
                <c:pt idx="72">
                  <c:v>44053</c:v>
                </c:pt>
                <c:pt idx="73">
                  <c:v>44054</c:v>
                </c:pt>
                <c:pt idx="74">
                  <c:v>44055</c:v>
                </c:pt>
                <c:pt idx="75">
                  <c:v>44056</c:v>
                </c:pt>
                <c:pt idx="76">
                  <c:v>44057</c:v>
                </c:pt>
                <c:pt idx="77">
                  <c:v>44060</c:v>
                </c:pt>
                <c:pt idx="78">
                  <c:v>44061</c:v>
                </c:pt>
                <c:pt idx="79">
                  <c:v>44062</c:v>
                </c:pt>
                <c:pt idx="80">
                  <c:v>44063</c:v>
                </c:pt>
                <c:pt idx="81">
                  <c:v>44064</c:v>
                </c:pt>
                <c:pt idx="82">
                  <c:v>44067</c:v>
                </c:pt>
                <c:pt idx="83">
                  <c:v>44068</c:v>
                </c:pt>
                <c:pt idx="84">
                  <c:v>44069</c:v>
                </c:pt>
                <c:pt idx="85">
                  <c:v>44070</c:v>
                </c:pt>
                <c:pt idx="86">
                  <c:v>44071</c:v>
                </c:pt>
                <c:pt idx="87">
                  <c:v>44074</c:v>
                </c:pt>
                <c:pt idx="88">
                  <c:v>44075</c:v>
                </c:pt>
                <c:pt idx="89">
                  <c:v>44076</c:v>
                </c:pt>
                <c:pt idx="90">
                  <c:v>44077</c:v>
                </c:pt>
                <c:pt idx="91">
                  <c:v>44078</c:v>
                </c:pt>
                <c:pt idx="92">
                  <c:v>44081</c:v>
                </c:pt>
                <c:pt idx="93">
                  <c:v>44082</c:v>
                </c:pt>
                <c:pt idx="94">
                  <c:v>44083</c:v>
                </c:pt>
                <c:pt idx="95">
                  <c:v>44084</c:v>
                </c:pt>
                <c:pt idx="96">
                  <c:v>44085</c:v>
                </c:pt>
                <c:pt idx="97">
                  <c:v>44088</c:v>
                </c:pt>
                <c:pt idx="98">
                  <c:v>44089</c:v>
                </c:pt>
                <c:pt idx="99">
                  <c:v>44090</c:v>
                </c:pt>
                <c:pt idx="100">
                  <c:v>44091</c:v>
                </c:pt>
                <c:pt idx="101">
                  <c:v>44092</c:v>
                </c:pt>
                <c:pt idx="102">
                  <c:v>44095</c:v>
                </c:pt>
                <c:pt idx="103">
                  <c:v>44096</c:v>
                </c:pt>
                <c:pt idx="104">
                  <c:v>44097</c:v>
                </c:pt>
                <c:pt idx="105">
                  <c:v>44098</c:v>
                </c:pt>
                <c:pt idx="106">
                  <c:v>44099</c:v>
                </c:pt>
                <c:pt idx="107">
                  <c:v>44102</c:v>
                </c:pt>
                <c:pt idx="108">
                  <c:v>44103</c:v>
                </c:pt>
                <c:pt idx="109">
                  <c:v>44104</c:v>
                </c:pt>
                <c:pt idx="110">
                  <c:v>44105</c:v>
                </c:pt>
                <c:pt idx="111">
                  <c:v>44106</c:v>
                </c:pt>
                <c:pt idx="112">
                  <c:v>44109</c:v>
                </c:pt>
                <c:pt idx="113">
                  <c:v>44110</c:v>
                </c:pt>
                <c:pt idx="114">
                  <c:v>44111</c:v>
                </c:pt>
                <c:pt idx="115">
                  <c:v>44112</c:v>
                </c:pt>
                <c:pt idx="116">
                  <c:v>44113</c:v>
                </c:pt>
                <c:pt idx="117">
                  <c:v>44116</c:v>
                </c:pt>
                <c:pt idx="118">
                  <c:v>44117</c:v>
                </c:pt>
                <c:pt idx="119">
                  <c:v>44118</c:v>
                </c:pt>
                <c:pt idx="120">
                  <c:v>44119</c:v>
                </c:pt>
                <c:pt idx="121">
                  <c:v>44120</c:v>
                </c:pt>
                <c:pt idx="122">
                  <c:v>44123</c:v>
                </c:pt>
                <c:pt idx="123">
                  <c:v>44124</c:v>
                </c:pt>
                <c:pt idx="124">
                  <c:v>44125</c:v>
                </c:pt>
                <c:pt idx="125">
                  <c:v>44126</c:v>
                </c:pt>
                <c:pt idx="126">
                  <c:v>44127</c:v>
                </c:pt>
                <c:pt idx="127">
                  <c:v>44130</c:v>
                </c:pt>
                <c:pt idx="128">
                  <c:v>44131</c:v>
                </c:pt>
                <c:pt idx="129">
                  <c:v>44132</c:v>
                </c:pt>
                <c:pt idx="130">
                  <c:v>44133</c:v>
                </c:pt>
                <c:pt idx="131">
                  <c:v>44134</c:v>
                </c:pt>
                <c:pt idx="132">
                  <c:v>44137</c:v>
                </c:pt>
                <c:pt idx="133">
                  <c:v>44138</c:v>
                </c:pt>
                <c:pt idx="134">
                  <c:v>44139</c:v>
                </c:pt>
                <c:pt idx="135">
                  <c:v>44140</c:v>
                </c:pt>
                <c:pt idx="136">
                  <c:v>44141</c:v>
                </c:pt>
                <c:pt idx="137">
                  <c:v>44144</c:v>
                </c:pt>
                <c:pt idx="138">
                  <c:v>44145</c:v>
                </c:pt>
                <c:pt idx="139">
                  <c:v>44146</c:v>
                </c:pt>
                <c:pt idx="140">
                  <c:v>44147</c:v>
                </c:pt>
                <c:pt idx="141">
                  <c:v>44148</c:v>
                </c:pt>
                <c:pt idx="142">
                  <c:v>44151</c:v>
                </c:pt>
                <c:pt idx="143">
                  <c:v>44152</c:v>
                </c:pt>
                <c:pt idx="144">
                  <c:v>44153</c:v>
                </c:pt>
                <c:pt idx="145">
                  <c:v>44154</c:v>
                </c:pt>
                <c:pt idx="146">
                  <c:v>44155</c:v>
                </c:pt>
                <c:pt idx="147">
                  <c:v>44158</c:v>
                </c:pt>
                <c:pt idx="148">
                  <c:v>44159</c:v>
                </c:pt>
                <c:pt idx="149">
                  <c:v>44160</c:v>
                </c:pt>
                <c:pt idx="150">
                  <c:v>44161</c:v>
                </c:pt>
                <c:pt idx="151">
                  <c:v>44162</c:v>
                </c:pt>
                <c:pt idx="152">
                  <c:v>44165</c:v>
                </c:pt>
                <c:pt idx="153">
                  <c:v>44166</c:v>
                </c:pt>
                <c:pt idx="154">
                  <c:v>44167</c:v>
                </c:pt>
                <c:pt idx="155">
                  <c:v>44168</c:v>
                </c:pt>
                <c:pt idx="156">
                  <c:v>44169</c:v>
                </c:pt>
                <c:pt idx="157">
                  <c:v>44172</c:v>
                </c:pt>
                <c:pt idx="158">
                  <c:v>44173</c:v>
                </c:pt>
                <c:pt idx="159">
                  <c:v>44174</c:v>
                </c:pt>
                <c:pt idx="160">
                  <c:v>44175</c:v>
                </c:pt>
                <c:pt idx="161">
                  <c:v>44176</c:v>
                </c:pt>
                <c:pt idx="162">
                  <c:v>44179</c:v>
                </c:pt>
                <c:pt idx="163">
                  <c:v>44180</c:v>
                </c:pt>
                <c:pt idx="164">
                  <c:v>44181</c:v>
                </c:pt>
                <c:pt idx="165">
                  <c:v>44272</c:v>
                </c:pt>
                <c:pt idx="166">
                  <c:v>44316</c:v>
                </c:pt>
                <c:pt idx="167">
                  <c:v>44363</c:v>
                </c:pt>
                <c:pt idx="168">
                  <c:v>44454</c:v>
                </c:pt>
                <c:pt idx="169">
                  <c:v>44545</c:v>
                </c:pt>
                <c:pt idx="170">
                  <c:v>44681</c:v>
                </c:pt>
                <c:pt idx="171">
                  <c:v>44772</c:v>
                </c:pt>
                <c:pt idx="172">
                  <c:v>44863</c:v>
                </c:pt>
                <c:pt idx="173">
                  <c:v>44954</c:v>
                </c:pt>
                <c:pt idx="174">
                  <c:v>45046</c:v>
                </c:pt>
                <c:pt idx="175">
                  <c:v>45137</c:v>
                </c:pt>
                <c:pt idx="176">
                  <c:v>45228</c:v>
                </c:pt>
                <c:pt idx="177">
                  <c:v>45319</c:v>
                </c:pt>
                <c:pt idx="178">
                  <c:v>45411</c:v>
                </c:pt>
                <c:pt idx="179">
                  <c:v>45502</c:v>
                </c:pt>
                <c:pt idx="180">
                  <c:v>45593</c:v>
                </c:pt>
                <c:pt idx="181">
                  <c:v>45684</c:v>
                </c:pt>
                <c:pt idx="182">
                  <c:v>45776</c:v>
                </c:pt>
                <c:pt idx="183">
                  <c:v>45867</c:v>
                </c:pt>
                <c:pt idx="184">
                  <c:v>45958</c:v>
                </c:pt>
                <c:pt idx="185">
                  <c:v>46049</c:v>
                </c:pt>
                <c:pt idx="186">
                  <c:v>46141</c:v>
                </c:pt>
                <c:pt idx="187">
                  <c:v>46232</c:v>
                </c:pt>
                <c:pt idx="188">
                  <c:v>46323</c:v>
                </c:pt>
                <c:pt idx="189">
                  <c:v>46414</c:v>
                </c:pt>
                <c:pt idx="190">
                  <c:v>46506</c:v>
                </c:pt>
                <c:pt idx="191">
                  <c:v>46597</c:v>
                </c:pt>
                <c:pt idx="192">
                  <c:v>46688</c:v>
                </c:pt>
                <c:pt idx="193">
                  <c:v>46779</c:v>
                </c:pt>
                <c:pt idx="194">
                  <c:v>46871</c:v>
                </c:pt>
                <c:pt idx="195">
                  <c:v>46962</c:v>
                </c:pt>
                <c:pt idx="196">
                  <c:v>47053</c:v>
                </c:pt>
                <c:pt idx="197">
                  <c:v>47144</c:v>
                </c:pt>
                <c:pt idx="198">
                  <c:v>47236</c:v>
                </c:pt>
                <c:pt idx="199">
                  <c:v>47327</c:v>
                </c:pt>
                <c:pt idx="200">
                  <c:v>47418</c:v>
                </c:pt>
                <c:pt idx="201">
                  <c:v>47509</c:v>
                </c:pt>
                <c:pt idx="202">
                  <c:v>47601</c:v>
                </c:pt>
                <c:pt idx="203">
                  <c:v>47692</c:v>
                </c:pt>
                <c:pt idx="204">
                  <c:v>47783</c:v>
                </c:pt>
                <c:pt idx="205">
                  <c:v>47874</c:v>
                </c:pt>
                <c:pt idx="206">
                  <c:v>47966</c:v>
                </c:pt>
                <c:pt idx="207">
                  <c:v>48057</c:v>
                </c:pt>
                <c:pt idx="208">
                  <c:v>48148</c:v>
                </c:pt>
                <c:pt idx="209">
                  <c:v>48239</c:v>
                </c:pt>
                <c:pt idx="210">
                  <c:v>48331</c:v>
                </c:pt>
                <c:pt idx="211">
                  <c:v>48422</c:v>
                </c:pt>
                <c:pt idx="212">
                  <c:v>48513</c:v>
                </c:pt>
                <c:pt idx="213">
                  <c:v>48604</c:v>
                </c:pt>
                <c:pt idx="214">
                  <c:v>48696</c:v>
                </c:pt>
                <c:pt idx="215">
                  <c:v>48787</c:v>
                </c:pt>
                <c:pt idx="216">
                  <c:v>48878</c:v>
                </c:pt>
                <c:pt idx="217">
                  <c:v>48969</c:v>
                </c:pt>
                <c:pt idx="218">
                  <c:v>49061</c:v>
                </c:pt>
                <c:pt idx="219">
                  <c:v>49152</c:v>
                </c:pt>
                <c:pt idx="220">
                  <c:v>49243</c:v>
                </c:pt>
                <c:pt idx="221">
                  <c:v>49334</c:v>
                </c:pt>
                <c:pt idx="222">
                  <c:v>49426</c:v>
                </c:pt>
                <c:pt idx="223">
                  <c:v>49517</c:v>
                </c:pt>
                <c:pt idx="224">
                  <c:v>49608</c:v>
                </c:pt>
                <c:pt idx="225">
                  <c:v>49699</c:v>
                </c:pt>
                <c:pt idx="226">
                  <c:v>49791</c:v>
                </c:pt>
                <c:pt idx="227">
                  <c:v>49882</c:v>
                </c:pt>
                <c:pt idx="228">
                  <c:v>49973</c:v>
                </c:pt>
                <c:pt idx="229">
                  <c:v>50064</c:v>
                </c:pt>
                <c:pt idx="230">
                  <c:v>50156</c:v>
                </c:pt>
                <c:pt idx="231">
                  <c:v>50247</c:v>
                </c:pt>
                <c:pt idx="232">
                  <c:v>50338</c:v>
                </c:pt>
                <c:pt idx="233">
                  <c:v>50429</c:v>
                </c:pt>
                <c:pt idx="234">
                  <c:v>50521</c:v>
                </c:pt>
                <c:pt idx="235">
                  <c:v>50612</c:v>
                </c:pt>
                <c:pt idx="236">
                  <c:v>50703</c:v>
                </c:pt>
                <c:pt idx="237">
                  <c:v>50794</c:v>
                </c:pt>
                <c:pt idx="238">
                  <c:v>50886</c:v>
                </c:pt>
                <c:pt idx="239">
                  <c:v>50977</c:v>
                </c:pt>
                <c:pt idx="240">
                  <c:v>51068</c:v>
                </c:pt>
                <c:pt idx="241">
                  <c:v>51159</c:v>
                </c:pt>
                <c:pt idx="242">
                  <c:v>51251</c:v>
                </c:pt>
                <c:pt idx="243">
                  <c:v>51342</c:v>
                </c:pt>
                <c:pt idx="244">
                  <c:v>51433</c:v>
                </c:pt>
                <c:pt idx="245">
                  <c:v>51524</c:v>
                </c:pt>
                <c:pt idx="246">
                  <c:v>51616</c:v>
                </c:pt>
                <c:pt idx="247">
                  <c:v>51707</c:v>
                </c:pt>
                <c:pt idx="248">
                  <c:v>51798</c:v>
                </c:pt>
                <c:pt idx="249">
                  <c:v>51889</c:v>
                </c:pt>
                <c:pt idx="250">
                  <c:v>51981</c:v>
                </c:pt>
                <c:pt idx="251">
                  <c:v>52072</c:v>
                </c:pt>
                <c:pt idx="252">
                  <c:v>52163</c:v>
                </c:pt>
                <c:pt idx="253">
                  <c:v>52254</c:v>
                </c:pt>
                <c:pt idx="254">
                  <c:v>52346</c:v>
                </c:pt>
                <c:pt idx="255">
                  <c:v>52437</c:v>
                </c:pt>
                <c:pt idx="256">
                  <c:v>52528</c:v>
                </c:pt>
                <c:pt idx="257">
                  <c:v>52619</c:v>
                </c:pt>
                <c:pt idx="258">
                  <c:v>52711</c:v>
                </c:pt>
                <c:pt idx="259">
                  <c:v>52802</c:v>
                </c:pt>
                <c:pt idx="260">
                  <c:v>52893</c:v>
                </c:pt>
                <c:pt idx="261">
                  <c:v>52984</c:v>
                </c:pt>
                <c:pt idx="262">
                  <c:v>53076</c:v>
                </c:pt>
                <c:pt idx="263">
                  <c:v>53167</c:v>
                </c:pt>
                <c:pt idx="264">
                  <c:v>53258</c:v>
                </c:pt>
                <c:pt idx="265">
                  <c:v>53349</c:v>
                </c:pt>
                <c:pt idx="266">
                  <c:v>53441</c:v>
                </c:pt>
                <c:pt idx="267">
                  <c:v>53532</c:v>
                </c:pt>
                <c:pt idx="268">
                  <c:v>53623</c:v>
                </c:pt>
                <c:pt idx="269">
                  <c:v>53714</c:v>
                </c:pt>
                <c:pt idx="270">
                  <c:v>53806</c:v>
                </c:pt>
                <c:pt idx="271">
                  <c:v>53897</c:v>
                </c:pt>
                <c:pt idx="272">
                  <c:v>53988</c:v>
                </c:pt>
                <c:pt idx="273">
                  <c:v>54079</c:v>
                </c:pt>
                <c:pt idx="274">
                  <c:v>54171</c:v>
                </c:pt>
                <c:pt idx="275">
                  <c:v>54262</c:v>
                </c:pt>
                <c:pt idx="276">
                  <c:v>54353</c:v>
                </c:pt>
                <c:pt idx="277">
                  <c:v>54444</c:v>
                </c:pt>
                <c:pt idx="278">
                  <c:v>54536</c:v>
                </c:pt>
                <c:pt idx="279">
                  <c:v>54627</c:v>
                </c:pt>
                <c:pt idx="280">
                  <c:v>54718</c:v>
                </c:pt>
                <c:pt idx="281">
                  <c:v>54809</c:v>
                </c:pt>
                <c:pt idx="282">
                  <c:v>54901</c:v>
                </c:pt>
                <c:pt idx="283">
                  <c:v>54992</c:v>
                </c:pt>
                <c:pt idx="284">
                  <c:v>55083</c:v>
                </c:pt>
                <c:pt idx="285">
                  <c:v>55174</c:v>
                </c:pt>
                <c:pt idx="286">
                  <c:v>55266</c:v>
                </c:pt>
                <c:pt idx="287">
                  <c:v>55357</c:v>
                </c:pt>
                <c:pt idx="288">
                  <c:v>55448</c:v>
                </c:pt>
                <c:pt idx="289">
                  <c:v>55539</c:v>
                </c:pt>
                <c:pt idx="290">
                  <c:v>55631</c:v>
                </c:pt>
                <c:pt idx="291">
                  <c:v>55722</c:v>
                </c:pt>
                <c:pt idx="292">
                  <c:v>55813</c:v>
                </c:pt>
                <c:pt idx="293">
                  <c:v>55904</c:v>
                </c:pt>
                <c:pt idx="294">
                  <c:v>55996</c:v>
                </c:pt>
                <c:pt idx="295">
                  <c:v>56087</c:v>
                </c:pt>
                <c:pt idx="296">
                  <c:v>56178</c:v>
                </c:pt>
                <c:pt idx="297">
                  <c:v>56269</c:v>
                </c:pt>
                <c:pt idx="298">
                  <c:v>56361</c:v>
                </c:pt>
                <c:pt idx="299">
                  <c:v>56452</c:v>
                </c:pt>
                <c:pt idx="300">
                  <c:v>56543</c:v>
                </c:pt>
                <c:pt idx="301">
                  <c:v>56634</c:v>
                </c:pt>
                <c:pt idx="302">
                  <c:v>56726</c:v>
                </c:pt>
                <c:pt idx="303">
                  <c:v>56817</c:v>
                </c:pt>
                <c:pt idx="304">
                  <c:v>56908</c:v>
                </c:pt>
                <c:pt idx="305">
                  <c:v>56999</c:v>
                </c:pt>
                <c:pt idx="306">
                  <c:v>57091</c:v>
                </c:pt>
                <c:pt idx="307">
                  <c:v>57182</c:v>
                </c:pt>
                <c:pt idx="308">
                  <c:v>57273</c:v>
                </c:pt>
                <c:pt idx="309">
                  <c:v>57364</c:v>
                </c:pt>
                <c:pt idx="310">
                  <c:v>57456</c:v>
                </c:pt>
                <c:pt idx="311">
                  <c:v>57547</c:v>
                </c:pt>
                <c:pt idx="312">
                  <c:v>57638</c:v>
                </c:pt>
                <c:pt idx="313">
                  <c:v>57729</c:v>
                </c:pt>
                <c:pt idx="314">
                  <c:v>57821</c:v>
                </c:pt>
                <c:pt idx="315">
                  <c:v>57912</c:v>
                </c:pt>
                <c:pt idx="316">
                  <c:v>58003</c:v>
                </c:pt>
                <c:pt idx="317">
                  <c:v>58094</c:v>
                </c:pt>
                <c:pt idx="318">
                  <c:v>58186</c:v>
                </c:pt>
                <c:pt idx="319">
                  <c:v>58277</c:v>
                </c:pt>
                <c:pt idx="320">
                  <c:v>58368</c:v>
                </c:pt>
                <c:pt idx="321">
                  <c:v>58459</c:v>
                </c:pt>
                <c:pt idx="322">
                  <c:v>58551</c:v>
                </c:pt>
              </c:numCache>
            </c:numRef>
          </c:cat>
          <c:val>
            <c:numRef>
              <c:f>Main!$F$2:$F$324</c:f>
              <c:numCache>
                <c:formatCode>0.0000</c:formatCode>
                <c:ptCount val="323"/>
                <c:pt idx="0">
                  <c:v>0.04</c:v>
                </c:pt>
                <c:pt idx="1">
                  <c:v>2.8784527689555972E-2</c:v>
                </c:pt>
                <c:pt idx="2">
                  <c:v>2.8784527689555972E-2</c:v>
                </c:pt>
                <c:pt idx="3">
                  <c:v>2.8784527689555972E-2</c:v>
                </c:pt>
                <c:pt idx="4">
                  <c:v>2.8784527689555972E-2</c:v>
                </c:pt>
                <c:pt idx="5">
                  <c:v>2.8784527689555972E-2</c:v>
                </c:pt>
                <c:pt idx="6">
                  <c:v>2.8784527689555972E-2</c:v>
                </c:pt>
                <c:pt idx="7">
                  <c:v>2.8784527689555972E-2</c:v>
                </c:pt>
                <c:pt idx="8">
                  <c:v>2.8784527689555972E-2</c:v>
                </c:pt>
                <c:pt idx="9">
                  <c:v>2.8784527689555972E-2</c:v>
                </c:pt>
                <c:pt idx="10">
                  <c:v>2.8784527689555972E-2</c:v>
                </c:pt>
                <c:pt idx="11">
                  <c:v>2.8784527689555972E-2</c:v>
                </c:pt>
                <c:pt idx="12">
                  <c:v>2.8784527689555972E-2</c:v>
                </c:pt>
                <c:pt idx="13">
                  <c:v>2.8784527689555972E-2</c:v>
                </c:pt>
                <c:pt idx="14">
                  <c:v>2.8784527689555972E-2</c:v>
                </c:pt>
                <c:pt idx="15">
                  <c:v>2.8784527689555972E-2</c:v>
                </c:pt>
                <c:pt idx="16">
                  <c:v>2.8784527689555972E-2</c:v>
                </c:pt>
                <c:pt idx="17">
                  <c:v>2.8784527689555972E-2</c:v>
                </c:pt>
                <c:pt idx="18">
                  <c:v>2.8784527689555972E-2</c:v>
                </c:pt>
                <c:pt idx="19">
                  <c:v>2.8784527689555972E-2</c:v>
                </c:pt>
                <c:pt idx="20">
                  <c:v>2.8784527689555972E-2</c:v>
                </c:pt>
                <c:pt idx="21">
                  <c:v>2.8784527689555972E-2</c:v>
                </c:pt>
                <c:pt idx="22">
                  <c:v>2.8784527689555972E-2</c:v>
                </c:pt>
                <c:pt idx="23">
                  <c:v>2.8784527689555972E-2</c:v>
                </c:pt>
                <c:pt idx="24">
                  <c:v>2.8784527689555972E-2</c:v>
                </c:pt>
                <c:pt idx="25">
                  <c:v>2.8784527689555972E-2</c:v>
                </c:pt>
                <c:pt idx="26">
                  <c:v>2.8784527689555972E-2</c:v>
                </c:pt>
                <c:pt idx="27">
                  <c:v>2.8784527689555972E-2</c:v>
                </c:pt>
                <c:pt idx="28">
                  <c:v>2.8784527689555972E-2</c:v>
                </c:pt>
                <c:pt idx="29">
                  <c:v>2.8784527689555972E-2</c:v>
                </c:pt>
                <c:pt idx="30">
                  <c:v>2.8784527689555972E-2</c:v>
                </c:pt>
                <c:pt idx="31">
                  <c:v>2.8784527689555972E-2</c:v>
                </c:pt>
                <c:pt idx="32">
                  <c:v>2.8784527689555972E-2</c:v>
                </c:pt>
                <c:pt idx="33">
                  <c:v>2.8784527689555972E-2</c:v>
                </c:pt>
                <c:pt idx="34">
                  <c:v>2.4922200791328564E-2</c:v>
                </c:pt>
                <c:pt idx="35">
                  <c:v>2.4922200791328564E-2</c:v>
                </c:pt>
                <c:pt idx="36">
                  <c:v>2.4922200791328564E-2</c:v>
                </c:pt>
                <c:pt idx="37">
                  <c:v>2.4922200791328564E-2</c:v>
                </c:pt>
                <c:pt idx="38">
                  <c:v>2.4922200791328564E-2</c:v>
                </c:pt>
                <c:pt idx="39">
                  <c:v>2.4922200791328564E-2</c:v>
                </c:pt>
                <c:pt idx="40">
                  <c:v>2.4922200791328564E-2</c:v>
                </c:pt>
                <c:pt idx="41">
                  <c:v>2.4922200791328564E-2</c:v>
                </c:pt>
                <c:pt idx="42">
                  <c:v>2.4922200791328564E-2</c:v>
                </c:pt>
                <c:pt idx="43">
                  <c:v>2.4922200791328564E-2</c:v>
                </c:pt>
                <c:pt idx="44">
                  <c:v>2.4922200791328564E-2</c:v>
                </c:pt>
                <c:pt idx="45">
                  <c:v>2.4922200791328564E-2</c:v>
                </c:pt>
                <c:pt idx="46">
                  <c:v>2.4922200791328564E-2</c:v>
                </c:pt>
                <c:pt idx="47">
                  <c:v>2.4922200791328564E-2</c:v>
                </c:pt>
                <c:pt idx="48">
                  <c:v>2.4922200791328564E-2</c:v>
                </c:pt>
                <c:pt idx="49">
                  <c:v>2.4922200791328564E-2</c:v>
                </c:pt>
                <c:pt idx="50">
                  <c:v>2.4922200791328564E-2</c:v>
                </c:pt>
                <c:pt idx="51">
                  <c:v>2.4922200791328564E-2</c:v>
                </c:pt>
                <c:pt idx="52">
                  <c:v>2.4922200791328564E-2</c:v>
                </c:pt>
                <c:pt idx="53">
                  <c:v>2.4922200791328564E-2</c:v>
                </c:pt>
                <c:pt idx="54">
                  <c:v>2.4922200791328564E-2</c:v>
                </c:pt>
                <c:pt idx="55">
                  <c:v>2.4922200791328564E-2</c:v>
                </c:pt>
                <c:pt idx="56">
                  <c:v>2.4922200791328564E-2</c:v>
                </c:pt>
                <c:pt idx="57">
                  <c:v>2.4922200791328564E-2</c:v>
                </c:pt>
                <c:pt idx="58">
                  <c:v>2.4922200791328564E-2</c:v>
                </c:pt>
                <c:pt idx="59">
                  <c:v>2.4922200791328564E-2</c:v>
                </c:pt>
                <c:pt idx="60">
                  <c:v>2.4922200791328564E-2</c:v>
                </c:pt>
                <c:pt idx="61">
                  <c:v>2.4922200791328564E-2</c:v>
                </c:pt>
                <c:pt idx="62">
                  <c:v>2.4922200791328564E-2</c:v>
                </c:pt>
                <c:pt idx="63">
                  <c:v>2.4922200791328564E-2</c:v>
                </c:pt>
                <c:pt idx="64">
                  <c:v>2.4922200791328564E-2</c:v>
                </c:pt>
                <c:pt idx="65">
                  <c:v>2.4922200791328564E-2</c:v>
                </c:pt>
                <c:pt idx="66">
                  <c:v>2.4922200791328564E-2</c:v>
                </c:pt>
                <c:pt idx="67">
                  <c:v>2.4922200791328564E-2</c:v>
                </c:pt>
                <c:pt idx="68">
                  <c:v>2.4922200791328564E-2</c:v>
                </c:pt>
                <c:pt idx="69">
                  <c:v>2.4922200791328564E-2</c:v>
                </c:pt>
                <c:pt idx="70">
                  <c:v>2.4922200791328564E-2</c:v>
                </c:pt>
                <c:pt idx="71">
                  <c:v>2.4922200791328564E-2</c:v>
                </c:pt>
                <c:pt idx="72">
                  <c:v>2.4922200791328564E-2</c:v>
                </c:pt>
                <c:pt idx="73">
                  <c:v>2.4922200791328564E-2</c:v>
                </c:pt>
                <c:pt idx="74">
                  <c:v>2.4922200791328564E-2</c:v>
                </c:pt>
                <c:pt idx="75">
                  <c:v>2.4922200791328564E-2</c:v>
                </c:pt>
                <c:pt idx="76">
                  <c:v>2.4922200791328564E-2</c:v>
                </c:pt>
                <c:pt idx="77">
                  <c:v>2.4922200791328564E-2</c:v>
                </c:pt>
                <c:pt idx="78">
                  <c:v>2.4922200791328564E-2</c:v>
                </c:pt>
                <c:pt idx="79">
                  <c:v>2.4922200791328564E-2</c:v>
                </c:pt>
                <c:pt idx="80">
                  <c:v>2.4922200791328564E-2</c:v>
                </c:pt>
                <c:pt idx="81">
                  <c:v>2.4922200791328564E-2</c:v>
                </c:pt>
                <c:pt idx="82">
                  <c:v>2.4922200791328564E-2</c:v>
                </c:pt>
                <c:pt idx="83">
                  <c:v>2.4922200791328564E-2</c:v>
                </c:pt>
                <c:pt idx="84">
                  <c:v>2.4922200791328564E-2</c:v>
                </c:pt>
                <c:pt idx="85">
                  <c:v>2.4922200791328564E-2</c:v>
                </c:pt>
                <c:pt idx="86">
                  <c:v>2.4922200791328564E-2</c:v>
                </c:pt>
                <c:pt idx="87">
                  <c:v>2.4922200791328564E-2</c:v>
                </c:pt>
                <c:pt idx="88">
                  <c:v>2.4922200791328564E-2</c:v>
                </c:pt>
                <c:pt idx="89">
                  <c:v>2.4922200791328564E-2</c:v>
                </c:pt>
                <c:pt idx="90">
                  <c:v>2.4922200791328564E-2</c:v>
                </c:pt>
                <c:pt idx="91">
                  <c:v>2.4922200791328564E-2</c:v>
                </c:pt>
                <c:pt idx="92">
                  <c:v>2.4922200791328564E-2</c:v>
                </c:pt>
                <c:pt idx="93">
                  <c:v>2.4922200791328564E-2</c:v>
                </c:pt>
                <c:pt idx="94">
                  <c:v>2.4922200791328564E-2</c:v>
                </c:pt>
                <c:pt idx="95">
                  <c:v>2.4922200791328564E-2</c:v>
                </c:pt>
                <c:pt idx="96">
                  <c:v>2.4922200791328564E-2</c:v>
                </c:pt>
                <c:pt idx="97">
                  <c:v>2.4922200791328564E-2</c:v>
                </c:pt>
                <c:pt idx="98">
                  <c:v>2.4922200791328564E-2</c:v>
                </c:pt>
                <c:pt idx="99">
                  <c:v>2.9888062439056284E-2</c:v>
                </c:pt>
                <c:pt idx="100">
                  <c:v>2.9888062439056284E-2</c:v>
                </c:pt>
                <c:pt idx="101">
                  <c:v>2.9888062439056284E-2</c:v>
                </c:pt>
                <c:pt idx="102">
                  <c:v>2.9888062439056284E-2</c:v>
                </c:pt>
                <c:pt idx="103">
                  <c:v>2.9888062439056284E-2</c:v>
                </c:pt>
                <c:pt idx="104">
                  <c:v>2.9888062439056284E-2</c:v>
                </c:pt>
                <c:pt idx="105">
                  <c:v>2.9888062439056284E-2</c:v>
                </c:pt>
                <c:pt idx="106">
                  <c:v>2.9888062439056284E-2</c:v>
                </c:pt>
                <c:pt idx="107">
                  <c:v>2.9888062439056284E-2</c:v>
                </c:pt>
                <c:pt idx="108">
                  <c:v>2.9888062439056284E-2</c:v>
                </c:pt>
                <c:pt idx="109">
                  <c:v>2.9888062439056284E-2</c:v>
                </c:pt>
                <c:pt idx="110">
                  <c:v>2.9888062439056284E-2</c:v>
                </c:pt>
                <c:pt idx="111">
                  <c:v>2.9888062439056284E-2</c:v>
                </c:pt>
                <c:pt idx="112">
                  <c:v>2.9888062439056284E-2</c:v>
                </c:pt>
                <c:pt idx="113">
                  <c:v>2.9888062439056284E-2</c:v>
                </c:pt>
                <c:pt idx="114">
                  <c:v>2.9888062439056284E-2</c:v>
                </c:pt>
                <c:pt idx="115">
                  <c:v>2.9888062439056284E-2</c:v>
                </c:pt>
                <c:pt idx="116">
                  <c:v>2.9888062439056284E-2</c:v>
                </c:pt>
                <c:pt idx="117">
                  <c:v>2.9888062439056284E-2</c:v>
                </c:pt>
                <c:pt idx="118">
                  <c:v>2.9888062439056284E-2</c:v>
                </c:pt>
                <c:pt idx="119">
                  <c:v>2.9888062439056284E-2</c:v>
                </c:pt>
                <c:pt idx="120">
                  <c:v>2.9888062439056284E-2</c:v>
                </c:pt>
                <c:pt idx="121">
                  <c:v>2.9888062439056284E-2</c:v>
                </c:pt>
                <c:pt idx="122">
                  <c:v>2.9888062439056284E-2</c:v>
                </c:pt>
                <c:pt idx="123">
                  <c:v>2.9888062439056284E-2</c:v>
                </c:pt>
                <c:pt idx="124">
                  <c:v>2.9888062439056284E-2</c:v>
                </c:pt>
                <c:pt idx="125">
                  <c:v>2.9888062439056284E-2</c:v>
                </c:pt>
                <c:pt idx="126">
                  <c:v>2.9888062439056284E-2</c:v>
                </c:pt>
                <c:pt idx="127">
                  <c:v>2.9888062439056284E-2</c:v>
                </c:pt>
                <c:pt idx="128">
                  <c:v>2.9888062439056284E-2</c:v>
                </c:pt>
                <c:pt idx="129">
                  <c:v>2.9888062439056284E-2</c:v>
                </c:pt>
                <c:pt idx="130">
                  <c:v>2.9888062439056284E-2</c:v>
                </c:pt>
                <c:pt idx="131">
                  <c:v>2.9888062439056284E-2</c:v>
                </c:pt>
                <c:pt idx="132">
                  <c:v>2.9888062439056284E-2</c:v>
                </c:pt>
                <c:pt idx="133">
                  <c:v>2.9888062439056284E-2</c:v>
                </c:pt>
                <c:pt idx="134">
                  <c:v>2.9888062439056284E-2</c:v>
                </c:pt>
                <c:pt idx="135">
                  <c:v>2.9888062439056284E-2</c:v>
                </c:pt>
                <c:pt idx="136">
                  <c:v>2.9888062439056284E-2</c:v>
                </c:pt>
                <c:pt idx="137">
                  <c:v>2.9888062439056284E-2</c:v>
                </c:pt>
                <c:pt idx="138">
                  <c:v>2.9888062439056284E-2</c:v>
                </c:pt>
                <c:pt idx="139">
                  <c:v>2.9888062439056284E-2</c:v>
                </c:pt>
                <c:pt idx="140">
                  <c:v>2.9888062439056284E-2</c:v>
                </c:pt>
                <c:pt idx="141">
                  <c:v>2.9888062439056284E-2</c:v>
                </c:pt>
                <c:pt idx="142">
                  <c:v>2.9888062439056284E-2</c:v>
                </c:pt>
                <c:pt idx="143">
                  <c:v>2.9888062439056284E-2</c:v>
                </c:pt>
                <c:pt idx="144">
                  <c:v>2.9888062439056284E-2</c:v>
                </c:pt>
                <c:pt idx="145">
                  <c:v>2.9888062439056284E-2</c:v>
                </c:pt>
                <c:pt idx="146">
                  <c:v>2.9888062439056284E-2</c:v>
                </c:pt>
                <c:pt idx="147">
                  <c:v>2.9888062439056284E-2</c:v>
                </c:pt>
                <c:pt idx="148">
                  <c:v>2.9888062439056284E-2</c:v>
                </c:pt>
                <c:pt idx="149">
                  <c:v>2.9888062439056284E-2</c:v>
                </c:pt>
                <c:pt idx="150">
                  <c:v>2.9888062439056284E-2</c:v>
                </c:pt>
                <c:pt idx="151">
                  <c:v>2.9888062439056284E-2</c:v>
                </c:pt>
                <c:pt idx="152">
                  <c:v>2.9888062439056284E-2</c:v>
                </c:pt>
                <c:pt idx="153">
                  <c:v>2.9888062439056284E-2</c:v>
                </c:pt>
                <c:pt idx="154">
                  <c:v>2.9888062439056284E-2</c:v>
                </c:pt>
                <c:pt idx="155">
                  <c:v>2.9888062439056284E-2</c:v>
                </c:pt>
                <c:pt idx="156">
                  <c:v>2.9888062439056284E-2</c:v>
                </c:pt>
                <c:pt idx="157">
                  <c:v>2.9888062439056284E-2</c:v>
                </c:pt>
                <c:pt idx="158">
                  <c:v>2.9888062439056284E-2</c:v>
                </c:pt>
                <c:pt idx="159">
                  <c:v>2.9888062439056284E-2</c:v>
                </c:pt>
                <c:pt idx="160">
                  <c:v>2.9888062439056284E-2</c:v>
                </c:pt>
                <c:pt idx="161">
                  <c:v>2.9888062439056284E-2</c:v>
                </c:pt>
                <c:pt idx="162">
                  <c:v>2.9888062439056284E-2</c:v>
                </c:pt>
                <c:pt idx="163">
                  <c:v>2.9888062439056284E-2</c:v>
                </c:pt>
                <c:pt idx="164">
                  <c:v>3.9801330691737746E-2</c:v>
                </c:pt>
                <c:pt idx="165">
                  <c:v>3.9801330691737746E-2</c:v>
                </c:pt>
                <c:pt idx="166">
                  <c:v>4.9690094149505981E-2</c:v>
                </c:pt>
                <c:pt idx="167">
                  <c:v>4.9690094149505981E-2</c:v>
                </c:pt>
                <c:pt idx="168">
                  <c:v>5.4625324589823165E-2</c:v>
                </c:pt>
                <c:pt idx="169">
                  <c:v>5.9554474329477358E-2</c:v>
                </c:pt>
                <c:pt idx="170">
                  <c:v>3.1474893042360785E-2</c:v>
                </c:pt>
                <c:pt idx="171">
                  <c:v>0.10600089394531055</c:v>
                </c:pt>
                <c:pt idx="172">
                  <c:v>0.10600089394531055</c:v>
                </c:pt>
                <c:pt idx="173">
                  <c:v>0.10600089394531055</c:v>
                </c:pt>
                <c:pt idx="174">
                  <c:v>0.10600089394531055</c:v>
                </c:pt>
                <c:pt idx="175">
                  <c:v>0.21411572236205206</c:v>
                </c:pt>
                <c:pt idx="176">
                  <c:v>0.21411572236205206</c:v>
                </c:pt>
                <c:pt idx="177">
                  <c:v>0.21411572236205206</c:v>
                </c:pt>
                <c:pt idx="178">
                  <c:v>0.21411572236205206</c:v>
                </c:pt>
                <c:pt idx="179">
                  <c:v>0.36058119207426503</c:v>
                </c:pt>
                <c:pt idx="180">
                  <c:v>0.36058119207426503</c:v>
                </c:pt>
                <c:pt idx="181">
                  <c:v>0.36058119207426503</c:v>
                </c:pt>
                <c:pt idx="182">
                  <c:v>0.36058119207426503</c:v>
                </c:pt>
                <c:pt idx="183">
                  <c:v>0.53911250922179399</c:v>
                </c:pt>
                <c:pt idx="184">
                  <c:v>0.53911250922179399</c:v>
                </c:pt>
                <c:pt idx="185">
                  <c:v>0.53911250922179399</c:v>
                </c:pt>
                <c:pt idx="186">
                  <c:v>0.53911250922179399</c:v>
                </c:pt>
                <c:pt idx="187">
                  <c:v>0.53911250922179399</c:v>
                </c:pt>
                <c:pt idx="188">
                  <c:v>0.53911250922179399</c:v>
                </c:pt>
                <c:pt idx="189">
                  <c:v>0.53911250922179399</c:v>
                </c:pt>
                <c:pt idx="190">
                  <c:v>0.53911250922179399</c:v>
                </c:pt>
                <c:pt idx="191">
                  <c:v>0.67715377935281451</c:v>
                </c:pt>
                <c:pt idx="192">
                  <c:v>0.67715377935281451</c:v>
                </c:pt>
                <c:pt idx="193">
                  <c:v>0.67715377935281451</c:v>
                </c:pt>
                <c:pt idx="194">
                  <c:v>0.67715377935281451</c:v>
                </c:pt>
                <c:pt idx="195">
                  <c:v>0.67715377935281451</c:v>
                </c:pt>
                <c:pt idx="196">
                  <c:v>0.67715377935281451</c:v>
                </c:pt>
                <c:pt idx="197">
                  <c:v>0.67715377935281451</c:v>
                </c:pt>
                <c:pt idx="198">
                  <c:v>0.67715377935281451</c:v>
                </c:pt>
                <c:pt idx="199">
                  <c:v>0.67715377935281451</c:v>
                </c:pt>
                <c:pt idx="200">
                  <c:v>0.67715377935281451</c:v>
                </c:pt>
                <c:pt idx="201">
                  <c:v>0.67715377935281451</c:v>
                </c:pt>
                <c:pt idx="202">
                  <c:v>0.67715377935281451</c:v>
                </c:pt>
                <c:pt idx="203">
                  <c:v>0.71008899718241525</c:v>
                </c:pt>
                <c:pt idx="204">
                  <c:v>0.71008899718241525</c:v>
                </c:pt>
                <c:pt idx="205">
                  <c:v>0.71008899718241525</c:v>
                </c:pt>
                <c:pt idx="206">
                  <c:v>0.71008899718241525</c:v>
                </c:pt>
                <c:pt idx="207">
                  <c:v>0.71008899718241525</c:v>
                </c:pt>
                <c:pt idx="208">
                  <c:v>0.71008899718241525</c:v>
                </c:pt>
                <c:pt idx="209">
                  <c:v>0.71008899718241525</c:v>
                </c:pt>
                <c:pt idx="210">
                  <c:v>0.71008899718241525</c:v>
                </c:pt>
                <c:pt idx="211">
                  <c:v>0.72638591156633214</c:v>
                </c:pt>
                <c:pt idx="212">
                  <c:v>0.72638591156633214</c:v>
                </c:pt>
                <c:pt idx="213">
                  <c:v>0.72638591156633214</c:v>
                </c:pt>
                <c:pt idx="214">
                  <c:v>0.72638591156633214</c:v>
                </c:pt>
                <c:pt idx="215">
                  <c:v>0.72638591156633214</c:v>
                </c:pt>
                <c:pt idx="216">
                  <c:v>0.72638591156633214</c:v>
                </c:pt>
                <c:pt idx="217">
                  <c:v>0.72638591156633214</c:v>
                </c:pt>
                <c:pt idx="218">
                  <c:v>0.72638591156633214</c:v>
                </c:pt>
                <c:pt idx="219">
                  <c:v>0.72638591156633214</c:v>
                </c:pt>
                <c:pt idx="220">
                  <c:v>0.72638591156633214</c:v>
                </c:pt>
                <c:pt idx="221">
                  <c:v>0.72638591156633214</c:v>
                </c:pt>
                <c:pt idx="222">
                  <c:v>0.72638591156633214</c:v>
                </c:pt>
                <c:pt idx="223">
                  <c:v>0.69356694672885844</c:v>
                </c:pt>
                <c:pt idx="224">
                  <c:v>0.69356694672885844</c:v>
                </c:pt>
                <c:pt idx="225">
                  <c:v>0.69356694672885844</c:v>
                </c:pt>
                <c:pt idx="226">
                  <c:v>0.69356694672885844</c:v>
                </c:pt>
                <c:pt idx="227">
                  <c:v>0.69356694672885844</c:v>
                </c:pt>
                <c:pt idx="228">
                  <c:v>0.69356694672885844</c:v>
                </c:pt>
                <c:pt idx="229">
                  <c:v>0.69356694672885844</c:v>
                </c:pt>
                <c:pt idx="230">
                  <c:v>0.69356694672885844</c:v>
                </c:pt>
                <c:pt idx="231">
                  <c:v>0.69356694672885844</c:v>
                </c:pt>
                <c:pt idx="232">
                  <c:v>0.69356694672885844</c:v>
                </c:pt>
                <c:pt idx="233">
                  <c:v>0.69356694672885844</c:v>
                </c:pt>
                <c:pt idx="234">
                  <c:v>0.69356694672885844</c:v>
                </c:pt>
                <c:pt idx="235">
                  <c:v>0.69356694672885844</c:v>
                </c:pt>
                <c:pt idx="236">
                  <c:v>0.69356694672885844</c:v>
                </c:pt>
                <c:pt idx="237">
                  <c:v>0.69356694672885844</c:v>
                </c:pt>
                <c:pt idx="238">
                  <c:v>0.69356694672885844</c:v>
                </c:pt>
                <c:pt idx="239">
                  <c:v>0.69356694672885844</c:v>
                </c:pt>
                <c:pt idx="240">
                  <c:v>0.69356694672885844</c:v>
                </c:pt>
                <c:pt idx="241">
                  <c:v>0.69356694672885844</c:v>
                </c:pt>
                <c:pt idx="242">
                  <c:v>0.69356694672885844</c:v>
                </c:pt>
                <c:pt idx="243">
                  <c:v>0.60109372893241486</c:v>
                </c:pt>
                <c:pt idx="244">
                  <c:v>0.60109372893241486</c:v>
                </c:pt>
                <c:pt idx="245">
                  <c:v>0.60109372893241486</c:v>
                </c:pt>
                <c:pt idx="246">
                  <c:v>0.60109372893241486</c:v>
                </c:pt>
                <c:pt idx="247">
                  <c:v>0.60109372893241486</c:v>
                </c:pt>
                <c:pt idx="248">
                  <c:v>0.60109372893241486</c:v>
                </c:pt>
                <c:pt idx="249">
                  <c:v>0.60109372893241486</c:v>
                </c:pt>
                <c:pt idx="250">
                  <c:v>0.60109372893241486</c:v>
                </c:pt>
                <c:pt idx="251">
                  <c:v>0.60109372893241486</c:v>
                </c:pt>
                <c:pt idx="252">
                  <c:v>0.60109372893241486</c:v>
                </c:pt>
                <c:pt idx="253">
                  <c:v>0.60109372893241486</c:v>
                </c:pt>
                <c:pt idx="254">
                  <c:v>0.60109372893241486</c:v>
                </c:pt>
                <c:pt idx="255">
                  <c:v>0.60109372893241486</c:v>
                </c:pt>
                <c:pt idx="256">
                  <c:v>0.60109372893241486</c:v>
                </c:pt>
                <c:pt idx="257">
                  <c:v>0.60109372893241486</c:v>
                </c:pt>
                <c:pt idx="258">
                  <c:v>0.60109372893241486</c:v>
                </c:pt>
                <c:pt idx="259">
                  <c:v>0.60109372893241486</c:v>
                </c:pt>
                <c:pt idx="260">
                  <c:v>0.60109372893241486</c:v>
                </c:pt>
                <c:pt idx="261">
                  <c:v>0.60109372893241486</c:v>
                </c:pt>
                <c:pt idx="262">
                  <c:v>0.60109372893241486</c:v>
                </c:pt>
                <c:pt idx="263">
                  <c:v>0.60109372893241486</c:v>
                </c:pt>
                <c:pt idx="264">
                  <c:v>0.60109372893241486</c:v>
                </c:pt>
                <c:pt idx="265">
                  <c:v>0.60109372893241486</c:v>
                </c:pt>
                <c:pt idx="266">
                  <c:v>0.60109372893241486</c:v>
                </c:pt>
                <c:pt idx="267">
                  <c:v>0.60109372893241486</c:v>
                </c:pt>
                <c:pt idx="268">
                  <c:v>0.60109372893241486</c:v>
                </c:pt>
                <c:pt idx="269">
                  <c:v>0.60109372893241486</c:v>
                </c:pt>
                <c:pt idx="270">
                  <c:v>0.60109372893241486</c:v>
                </c:pt>
                <c:pt idx="271">
                  <c:v>0.60109372893241486</c:v>
                </c:pt>
                <c:pt idx="272">
                  <c:v>0.60109372893241486</c:v>
                </c:pt>
                <c:pt idx="273">
                  <c:v>0.60109372893241486</c:v>
                </c:pt>
                <c:pt idx="274">
                  <c:v>0.60109372893241486</c:v>
                </c:pt>
                <c:pt idx="275">
                  <c:v>0.60109372893241486</c:v>
                </c:pt>
                <c:pt idx="276">
                  <c:v>0.60109372893241486</c:v>
                </c:pt>
                <c:pt idx="277">
                  <c:v>0.60109372893241486</c:v>
                </c:pt>
                <c:pt idx="278">
                  <c:v>0.60109372893241486</c:v>
                </c:pt>
                <c:pt idx="279">
                  <c:v>0.60109372893241486</c:v>
                </c:pt>
                <c:pt idx="280">
                  <c:v>0.60109372893241486</c:v>
                </c:pt>
                <c:pt idx="281">
                  <c:v>0.60109372893241486</c:v>
                </c:pt>
                <c:pt idx="282">
                  <c:v>0.60109372893241486</c:v>
                </c:pt>
                <c:pt idx="283">
                  <c:v>0.36849661531754552</c:v>
                </c:pt>
                <c:pt idx="284">
                  <c:v>0.36849661531754552</c:v>
                </c:pt>
                <c:pt idx="285">
                  <c:v>0.36849661531754552</c:v>
                </c:pt>
                <c:pt idx="286">
                  <c:v>0.36849661531754552</c:v>
                </c:pt>
                <c:pt idx="287">
                  <c:v>0.36849661531754552</c:v>
                </c:pt>
                <c:pt idx="288">
                  <c:v>0.36849661531754552</c:v>
                </c:pt>
                <c:pt idx="289">
                  <c:v>0.36849661531754552</c:v>
                </c:pt>
                <c:pt idx="290">
                  <c:v>0.36849661531754552</c:v>
                </c:pt>
                <c:pt idx="291">
                  <c:v>0.36849661531754552</c:v>
                </c:pt>
                <c:pt idx="292">
                  <c:v>0.36849661531754552</c:v>
                </c:pt>
                <c:pt idx="293">
                  <c:v>0.36849661531754552</c:v>
                </c:pt>
                <c:pt idx="294">
                  <c:v>0.36849661531754552</c:v>
                </c:pt>
                <c:pt idx="295">
                  <c:v>0.36849661531754552</c:v>
                </c:pt>
                <c:pt idx="296">
                  <c:v>0.36849661531754552</c:v>
                </c:pt>
                <c:pt idx="297">
                  <c:v>0.36849661531754552</c:v>
                </c:pt>
                <c:pt idx="298">
                  <c:v>0.36849661531754552</c:v>
                </c:pt>
                <c:pt idx="299">
                  <c:v>0.36849661531754552</c:v>
                </c:pt>
                <c:pt idx="300">
                  <c:v>0.36849661531754552</c:v>
                </c:pt>
                <c:pt idx="301">
                  <c:v>0.36849661531754552</c:v>
                </c:pt>
                <c:pt idx="302">
                  <c:v>0.36849661531754552</c:v>
                </c:pt>
                <c:pt idx="303">
                  <c:v>0.36849661531754552</c:v>
                </c:pt>
                <c:pt idx="304">
                  <c:v>0.36849661531754552</c:v>
                </c:pt>
                <c:pt idx="305">
                  <c:v>0.36849661531754552</c:v>
                </c:pt>
                <c:pt idx="306">
                  <c:v>0.36849661531754552</c:v>
                </c:pt>
                <c:pt idx="307">
                  <c:v>0.36849661531754552</c:v>
                </c:pt>
                <c:pt idx="308">
                  <c:v>0.36849661531754552</c:v>
                </c:pt>
                <c:pt idx="309">
                  <c:v>0.36849661531754552</c:v>
                </c:pt>
                <c:pt idx="310">
                  <c:v>0.36849661531754552</c:v>
                </c:pt>
                <c:pt idx="311">
                  <c:v>0.36849661531754552</c:v>
                </c:pt>
                <c:pt idx="312">
                  <c:v>0.36849661531754552</c:v>
                </c:pt>
                <c:pt idx="313">
                  <c:v>0.36849661531754552</c:v>
                </c:pt>
                <c:pt idx="314">
                  <c:v>0.36849661531754552</c:v>
                </c:pt>
                <c:pt idx="315">
                  <c:v>0.36849661531754552</c:v>
                </c:pt>
                <c:pt idx="316">
                  <c:v>0.36849661531754552</c:v>
                </c:pt>
                <c:pt idx="317">
                  <c:v>0.36849661531754552</c:v>
                </c:pt>
                <c:pt idx="318">
                  <c:v>0.36849661531754552</c:v>
                </c:pt>
                <c:pt idx="319">
                  <c:v>0.36849661531754552</c:v>
                </c:pt>
                <c:pt idx="320">
                  <c:v>0.36849661531754552</c:v>
                </c:pt>
                <c:pt idx="321">
                  <c:v>0.36849661531754552</c:v>
                </c:pt>
                <c:pt idx="322">
                  <c:v>0.36849661531754552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377408"/>
        <c:axId val="196876544"/>
      </c:lineChart>
      <c:dateAx>
        <c:axId val="111377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6876544"/>
        <c:crosses val="autoZero"/>
        <c:auto val="1"/>
        <c:lblOffset val="100"/>
        <c:baseTimeUnit val="days"/>
      </c:dateAx>
      <c:valAx>
        <c:axId val="196876544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1377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9062517030311228"/>
          <c:y val="0.60391695829687952"/>
          <c:w val="0.23074893618658232"/>
          <c:h val="8.371719160104987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259349116399377E-2"/>
          <c:y val="2.6410991911607971E-2"/>
          <c:w val="0.88346059634648"/>
          <c:h val="0.85834450009196883"/>
        </c:manualLayout>
      </c:layout>
      <c:lineChart>
        <c:grouping val="standard"/>
        <c:varyColors val="0"/>
        <c:ser>
          <c:idx val="0"/>
          <c:order val="0"/>
          <c:tx>
            <c:strRef>
              <c:f>Benchmarking!$B$1</c:f>
              <c:strCache>
                <c:ptCount val="1"/>
                <c:pt idx="0">
                  <c:v>BBG Fwd</c:v>
                </c:pt>
              </c:strCache>
            </c:strRef>
          </c:tx>
          <c:marker>
            <c:symbol val="none"/>
          </c:marker>
          <c:cat>
            <c:numRef>
              <c:f>Benchmarking!$A$2:$A$481</c:f>
              <c:numCache>
                <c:formatCode>m/d/yyyy</c:formatCode>
                <c:ptCount val="480"/>
                <c:pt idx="0">
                  <c:v>43955</c:v>
                </c:pt>
                <c:pt idx="1">
                  <c:v>43988</c:v>
                </c:pt>
                <c:pt idx="2">
                  <c:v>44016</c:v>
                </c:pt>
                <c:pt idx="3">
                  <c:v>44047</c:v>
                </c:pt>
                <c:pt idx="4">
                  <c:v>44079</c:v>
                </c:pt>
                <c:pt idx="5">
                  <c:v>44108</c:v>
                </c:pt>
                <c:pt idx="6">
                  <c:v>44139</c:v>
                </c:pt>
                <c:pt idx="7">
                  <c:v>44169</c:v>
                </c:pt>
                <c:pt idx="8">
                  <c:v>44200</c:v>
                </c:pt>
                <c:pt idx="9">
                  <c:v>44231</c:v>
                </c:pt>
                <c:pt idx="10">
                  <c:v>44260</c:v>
                </c:pt>
                <c:pt idx="11">
                  <c:v>44290</c:v>
                </c:pt>
                <c:pt idx="12">
                  <c:v>44320</c:v>
                </c:pt>
                <c:pt idx="13">
                  <c:v>44353</c:v>
                </c:pt>
                <c:pt idx="14">
                  <c:v>44381</c:v>
                </c:pt>
                <c:pt idx="15">
                  <c:v>44415</c:v>
                </c:pt>
                <c:pt idx="16">
                  <c:v>44443</c:v>
                </c:pt>
                <c:pt idx="17">
                  <c:v>44473</c:v>
                </c:pt>
                <c:pt idx="18">
                  <c:v>44506</c:v>
                </c:pt>
                <c:pt idx="19">
                  <c:v>44534</c:v>
                </c:pt>
                <c:pt idx="20">
                  <c:v>44565</c:v>
                </c:pt>
                <c:pt idx="21">
                  <c:v>44596</c:v>
                </c:pt>
                <c:pt idx="22">
                  <c:v>44624</c:v>
                </c:pt>
                <c:pt idx="23">
                  <c:v>44655</c:v>
                </c:pt>
                <c:pt idx="24">
                  <c:v>44687</c:v>
                </c:pt>
                <c:pt idx="25">
                  <c:v>44717</c:v>
                </c:pt>
                <c:pt idx="26">
                  <c:v>44746</c:v>
                </c:pt>
                <c:pt idx="27">
                  <c:v>44779</c:v>
                </c:pt>
                <c:pt idx="28">
                  <c:v>44808</c:v>
                </c:pt>
                <c:pt idx="29">
                  <c:v>44838</c:v>
                </c:pt>
                <c:pt idx="30">
                  <c:v>44870</c:v>
                </c:pt>
                <c:pt idx="31">
                  <c:v>44899</c:v>
                </c:pt>
                <c:pt idx="32">
                  <c:v>44932</c:v>
                </c:pt>
                <c:pt idx="33">
                  <c:v>44963</c:v>
                </c:pt>
                <c:pt idx="34">
                  <c:v>44989</c:v>
                </c:pt>
                <c:pt idx="35">
                  <c:v>45020</c:v>
                </c:pt>
                <c:pt idx="36">
                  <c:v>45051</c:v>
                </c:pt>
                <c:pt idx="37">
                  <c:v>45082</c:v>
                </c:pt>
                <c:pt idx="38">
                  <c:v>45111</c:v>
                </c:pt>
                <c:pt idx="39">
                  <c:v>45143</c:v>
                </c:pt>
                <c:pt idx="40">
                  <c:v>45173</c:v>
                </c:pt>
                <c:pt idx="41">
                  <c:v>45205</c:v>
                </c:pt>
                <c:pt idx="42">
                  <c:v>45234</c:v>
                </c:pt>
                <c:pt idx="43">
                  <c:v>45264</c:v>
                </c:pt>
                <c:pt idx="44">
                  <c:v>45296</c:v>
                </c:pt>
                <c:pt idx="45">
                  <c:v>45326</c:v>
                </c:pt>
                <c:pt idx="46">
                  <c:v>45355</c:v>
                </c:pt>
                <c:pt idx="47">
                  <c:v>45388</c:v>
                </c:pt>
                <c:pt idx="48">
                  <c:v>45416</c:v>
                </c:pt>
                <c:pt idx="49">
                  <c:v>45448</c:v>
                </c:pt>
                <c:pt idx="50">
                  <c:v>45478</c:v>
                </c:pt>
                <c:pt idx="51">
                  <c:v>45508</c:v>
                </c:pt>
                <c:pt idx="52">
                  <c:v>45539</c:v>
                </c:pt>
                <c:pt idx="53">
                  <c:v>45569</c:v>
                </c:pt>
                <c:pt idx="54">
                  <c:v>45600</c:v>
                </c:pt>
                <c:pt idx="55">
                  <c:v>45632</c:v>
                </c:pt>
                <c:pt idx="56">
                  <c:v>45661</c:v>
                </c:pt>
                <c:pt idx="57">
                  <c:v>45692</c:v>
                </c:pt>
                <c:pt idx="58">
                  <c:v>45720</c:v>
                </c:pt>
                <c:pt idx="59">
                  <c:v>45752</c:v>
                </c:pt>
                <c:pt idx="60">
                  <c:v>45781</c:v>
                </c:pt>
                <c:pt idx="61">
                  <c:v>45815</c:v>
                </c:pt>
                <c:pt idx="62">
                  <c:v>45842</c:v>
                </c:pt>
                <c:pt idx="63">
                  <c:v>45873</c:v>
                </c:pt>
                <c:pt idx="64">
                  <c:v>45906</c:v>
                </c:pt>
                <c:pt idx="65">
                  <c:v>45934</c:v>
                </c:pt>
                <c:pt idx="66">
                  <c:v>45965</c:v>
                </c:pt>
                <c:pt idx="67">
                  <c:v>45996</c:v>
                </c:pt>
                <c:pt idx="68">
                  <c:v>46026</c:v>
                </c:pt>
                <c:pt idx="69">
                  <c:v>46057</c:v>
                </c:pt>
                <c:pt idx="70">
                  <c:v>46087</c:v>
                </c:pt>
                <c:pt idx="71">
                  <c:v>46116</c:v>
                </c:pt>
                <c:pt idx="72">
                  <c:v>46146</c:v>
                </c:pt>
                <c:pt idx="73">
                  <c:v>46179</c:v>
                </c:pt>
                <c:pt idx="74">
                  <c:v>46207</c:v>
                </c:pt>
                <c:pt idx="75">
                  <c:v>46238</c:v>
                </c:pt>
                <c:pt idx="76">
                  <c:v>46270</c:v>
                </c:pt>
                <c:pt idx="77">
                  <c:v>46299</c:v>
                </c:pt>
                <c:pt idx="78">
                  <c:v>46330</c:v>
                </c:pt>
                <c:pt idx="79">
                  <c:v>46360</c:v>
                </c:pt>
                <c:pt idx="80">
                  <c:v>46391</c:v>
                </c:pt>
                <c:pt idx="81">
                  <c:v>46422</c:v>
                </c:pt>
                <c:pt idx="82">
                  <c:v>46451</c:v>
                </c:pt>
                <c:pt idx="83">
                  <c:v>46481</c:v>
                </c:pt>
                <c:pt idx="84">
                  <c:v>46511</c:v>
                </c:pt>
                <c:pt idx="85">
                  <c:v>46544</c:v>
                </c:pt>
                <c:pt idx="86">
                  <c:v>46572</c:v>
                </c:pt>
                <c:pt idx="87">
                  <c:v>46606</c:v>
                </c:pt>
                <c:pt idx="88">
                  <c:v>46634</c:v>
                </c:pt>
                <c:pt idx="89">
                  <c:v>46664</c:v>
                </c:pt>
                <c:pt idx="90">
                  <c:v>46697</c:v>
                </c:pt>
                <c:pt idx="91">
                  <c:v>46725</c:v>
                </c:pt>
                <c:pt idx="92">
                  <c:v>46756</c:v>
                </c:pt>
                <c:pt idx="93">
                  <c:v>46789</c:v>
                </c:pt>
                <c:pt idx="94">
                  <c:v>46816</c:v>
                </c:pt>
                <c:pt idx="95">
                  <c:v>46847</c:v>
                </c:pt>
                <c:pt idx="96">
                  <c:v>46878</c:v>
                </c:pt>
                <c:pt idx="97">
                  <c:v>46909</c:v>
                </c:pt>
                <c:pt idx="98">
                  <c:v>46938</c:v>
                </c:pt>
                <c:pt idx="99">
                  <c:v>46970</c:v>
                </c:pt>
                <c:pt idx="100">
                  <c:v>47000</c:v>
                </c:pt>
                <c:pt idx="101">
                  <c:v>47032</c:v>
                </c:pt>
                <c:pt idx="102">
                  <c:v>47061</c:v>
                </c:pt>
                <c:pt idx="103">
                  <c:v>47091</c:v>
                </c:pt>
                <c:pt idx="104">
                  <c:v>47123</c:v>
                </c:pt>
                <c:pt idx="105">
                  <c:v>47154</c:v>
                </c:pt>
                <c:pt idx="106">
                  <c:v>47181</c:v>
                </c:pt>
                <c:pt idx="107">
                  <c:v>47212</c:v>
                </c:pt>
                <c:pt idx="108">
                  <c:v>47242</c:v>
                </c:pt>
                <c:pt idx="109">
                  <c:v>47274</c:v>
                </c:pt>
                <c:pt idx="110">
                  <c:v>47305</c:v>
                </c:pt>
                <c:pt idx="111">
                  <c:v>47334</c:v>
                </c:pt>
                <c:pt idx="112">
                  <c:v>47365</c:v>
                </c:pt>
                <c:pt idx="113">
                  <c:v>47396</c:v>
                </c:pt>
                <c:pt idx="114">
                  <c:v>47426</c:v>
                </c:pt>
                <c:pt idx="115">
                  <c:v>47456</c:v>
                </c:pt>
                <c:pt idx="116">
                  <c:v>47487</c:v>
                </c:pt>
                <c:pt idx="117">
                  <c:v>47518</c:v>
                </c:pt>
                <c:pt idx="118">
                  <c:v>47546</c:v>
                </c:pt>
                <c:pt idx="119">
                  <c:v>47579</c:v>
                </c:pt>
                <c:pt idx="120">
                  <c:v>47607</c:v>
                </c:pt>
                <c:pt idx="121">
                  <c:v>47639</c:v>
                </c:pt>
                <c:pt idx="122">
                  <c:v>47669</c:v>
                </c:pt>
                <c:pt idx="123">
                  <c:v>47699</c:v>
                </c:pt>
                <c:pt idx="124">
                  <c:v>47730</c:v>
                </c:pt>
                <c:pt idx="125">
                  <c:v>47760</c:v>
                </c:pt>
                <c:pt idx="126">
                  <c:v>47791</c:v>
                </c:pt>
                <c:pt idx="127">
                  <c:v>47823</c:v>
                </c:pt>
                <c:pt idx="128">
                  <c:v>47852</c:v>
                </c:pt>
                <c:pt idx="129">
                  <c:v>47883</c:v>
                </c:pt>
                <c:pt idx="130">
                  <c:v>47911</c:v>
                </c:pt>
                <c:pt idx="131">
                  <c:v>47943</c:v>
                </c:pt>
                <c:pt idx="132">
                  <c:v>47972</c:v>
                </c:pt>
                <c:pt idx="133">
                  <c:v>48006</c:v>
                </c:pt>
                <c:pt idx="134">
                  <c:v>48033</c:v>
                </c:pt>
                <c:pt idx="135">
                  <c:v>48064</c:v>
                </c:pt>
                <c:pt idx="136">
                  <c:v>48097</c:v>
                </c:pt>
                <c:pt idx="137">
                  <c:v>48125</c:v>
                </c:pt>
                <c:pt idx="138">
                  <c:v>48156</c:v>
                </c:pt>
                <c:pt idx="139">
                  <c:v>48187</c:v>
                </c:pt>
                <c:pt idx="140">
                  <c:v>48217</c:v>
                </c:pt>
                <c:pt idx="141">
                  <c:v>48248</c:v>
                </c:pt>
                <c:pt idx="142">
                  <c:v>48278</c:v>
                </c:pt>
                <c:pt idx="143">
                  <c:v>48308</c:v>
                </c:pt>
                <c:pt idx="144">
                  <c:v>48338</c:v>
                </c:pt>
                <c:pt idx="145">
                  <c:v>48371</c:v>
                </c:pt>
                <c:pt idx="146">
                  <c:v>48399</c:v>
                </c:pt>
                <c:pt idx="147">
                  <c:v>48433</c:v>
                </c:pt>
                <c:pt idx="148">
                  <c:v>48461</c:v>
                </c:pt>
                <c:pt idx="149">
                  <c:v>48491</c:v>
                </c:pt>
                <c:pt idx="150">
                  <c:v>48524</c:v>
                </c:pt>
                <c:pt idx="151">
                  <c:v>48552</c:v>
                </c:pt>
                <c:pt idx="152">
                  <c:v>48583</c:v>
                </c:pt>
                <c:pt idx="153">
                  <c:v>48614</c:v>
                </c:pt>
                <c:pt idx="154">
                  <c:v>48642</c:v>
                </c:pt>
                <c:pt idx="155">
                  <c:v>48673</c:v>
                </c:pt>
                <c:pt idx="156">
                  <c:v>48705</c:v>
                </c:pt>
                <c:pt idx="157">
                  <c:v>48735</c:v>
                </c:pt>
                <c:pt idx="158">
                  <c:v>48764</c:v>
                </c:pt>
                <c:pt idx="159">
                  <c:v>48797</c:v>
                </c:pt>
                <c:pt idx="160">
                  <c:v>48826</c:v>
                </c:pt>
                <c:pt idx="161">
                  <c:v>48856</c:v>
                </c:pt>
                <c:pt idx="162">
                  <c:v>48888</c:v>
                </c:pt>
                <c:pt idx="163">
                  <c:v>48917</c:v>
                </c:pt>
                <c:pt idx="164">
                  <c:v>48950</c:v>
                </c:pt>
                <c:pt idx="165">
                  <c:v>48981</c:v>
                </c:pt>
                <c:pt idx="166">
                  <c:v>49007</c:v>
                </c:pt>
                <c:pt idx="167">
                  <c:v>49038</c:v>
                </c:pt>
                <c:pt idx="168">
                  <c:v>49069</c:v>
                </c:pt>
                <c:pt idx="169">
                  <c:v>49100</c:v>
                </c:pt>
                <c:pt idx="170">
                  <c:v>49129</c:v>
                </c:pt>
                <c:pt idx="171">
                  <c:v>49161</c:v>
                </c:pt>
                <c:pt idx="172">
                  <c:v>49191</c:v>
                </c:pt>
                <c:pt idx="173">
                  <c:v>49223</c:v>
                </c:pt>
                <c:pt idx="174">
                  <c:v>49252</c:v>
                </c:pt>
                <c:pt idx="175">
                  <c:v>49282</c:v>
                </c:pt>
                <c:pt idx="176">
                  <c:v>49314</c:v>
                </c:pt>
                <c:pt idx="177">
                  <c:v>49345</c:v>
                </c:pt>
                <c:pt idx="178">
                  <c:v>49372</c:v>
                </c:pt>
                <c:pt idx="179">
                  <c:v>49403</c:v>
                </c:pt>
                <c:pt idx="180">
                  <c:v>49433</c:v>
                </c:pt>
                <c:pt idx="181">
                  <c:v>49465</c:v>
                </c:pt>
                <c:pt idx="182">
                  <c:v>49496</c:v>
                </c:pt>
                <c:pt idx="183">
                  <c:v>49525</c:v>
                </c:pt>
                <c:pt idx="184">
                  <c:v>49556</c:v>
                </c:pt>
                <c:pt idx="185">
                  <c:v>49587</c:v>
                </c:pt>
                <c:pt idx="186">
                  <c:v>49617</c:v>
                </c:pt>
                <c:pt idx="187">
                  <c:v>49647</c:v>
                </c:pt>
                <c:pt idx="188">
                  <c:v>49678</c:v>
                </c:pt>
                <c:pt idx="189">
                  <c:v>49709</c:v>
                </c:pt>
                <c:pt idx="190">
                  <c:v>49738</c:v>
                </c:pt>
                <c:pt idx="191">
                  <c:v>49770</c:v>
                </c:pt>
                <c:pt idx="192">
                  <c:v>49799</c:v>
                </c:pt>
                <c:pt idx="193">
                  <c:v>49833</c:v>
                </c:pt>
                <c:pt idx="194">
                  <c:v>49860</c:v>
                </c:pt>
                <c:pt idx="195">
                  <c:v>49891</c:v>
                </c:pt>
                <c:pt idx="196">
                  <c:v>49924</c:v>
                </c:pt>
                <c:pt idx="197">
                  <c:v>49952</c:v>
                </c:pt>
                <c:pt idx="198">
                  <c:v>49983</c:v>
                </c:pt>
                <c:pt idx="199">
                  <c:v>50014</c:v>
                </c:pt>
                <c:pt idx="200">
                  <c:v>50044</c:v>
                </c:pt>
                <c:pt idx="201">
                  <c:v>50075</c:v>
                </c:pt>
                <c:pt idx="202">
                  <c:v>50105</c:v>
                </c:pt>
                <c:pt idx="203">
                  <c:v>50134</c:v>
                </c:pt>
                <c:pt idx="204">
                  <c:v>50164</c:v>
                </c:pt>
                <c:pt idx="205">
                  <c:v>50197</c:v>
                </c:pt>
                <c:pt idx="206">
                  <c:v>50225</c:v>
                </c:pt>
                <c:pt idx="207">
                  <c:v>50256</c:v>
                </c:pt>
                <c:pt idx="208">
                  <c:v>50288</c:v>
                </c:pt>
                <c:pt idx="209">
                  <c:v>50317</c:v>
                </c:pt>
                <c:pt idx="210">
                  <c:v>50348</c:v>
                </c:pt>
                <c:pt idx="211">
                  <c:v>50378</c:v>
                </c:pt>
                <c:pt idx="212">
                  <c:v>50409</c:v>
                </c:pt>
                <c:pt idx="213">
                  <c:v>50440</c:v>
                </c:pt>
                <c:pt idx="214">
                  <c:v>50469</c:v>
                </c:pt>
                <c:pt idx="215">
                  <c:v>50499</c:v>
                </c:pt>
                <c:pt idx="216">
                  <c:v>50529</c:v>
                </c:pt>
                <c:pt idx="217">
                  <c:v>50562</c:v>
                </c:pt>
                <c:pt idx="218">
                  <c:v>50590</c:v>
                </c:pt>
                <c:pt idx="219">
                  <c:v>50624</c:v>
                </c:pt>
                <c:pt idx="220">
                  <c:v>50652</c:v>
                </c:pt>
                <c:pt idx="221">
                  <c:v>50682</c:v>
                </c:pt>
                <c:pt idx="222">
                  <c:v>50715</c:v>
                </c:pt>
                <c:pt idx="223">
                  <c:v>50743</c:v>
                </c:pt>
                <c:pt idx="224">
                  <c:v>50774</c:v>
                </c:pt>
                <c:pt idx="225">
                  <c:v>50805</c:v>
                </c:pt>
                <c:pt idx="226">
                  <c:v>50833</c:v>
                </c:pt>
                <c:pt idx="227">
                  <c:v>50864</c:v>
                </c:pt>
                <c:pt idx="228">
                  <c:v>50896</c:v>
                </c:pt>
                <c:pt idx="229">
                  <c:v>50926</c:v>
                </c:pt>
                <c:pt idx="230">
                  <c:v>50955</c:v>
                </c:pt>
                <c:pt idx="231">
                  <c:v>50988</c:v>
                </c:pt>
                <c:pt idx="232">
                  <c:v>51017</c:v>
                </c:pt>
                <c:pt idx="233">
                  <c:v>51047</c:v>
                </c:pt>
                <c:pt idx="234">
                  <c:v>51079</c:v>
                </c:pt>
                <c:pt idx="235">
                  <c:v>51108</c:v>
                </c:pt>
                <c:pt idx="236">
                  <c:v>51141</c:v>
                </c:pt>
                <c:pt idx="237">
                  <c:v>51171</c:v>
                </c:pt>
                <c:pt idx="238">
                  <c:v>51199</c:v>
                </c:pt>
                <c:pt idx="239">
                  <c:v>51230</c:v>
                </c:pt>
                <c:pt idx="240">
                  <c:v>51260</c:v>
                </c:pt>
                <c:pt idx="241">
                  <c:v>51292</c:v>
                </c:pt>
                <c:pt idx="242">
                  <c:v>51323</c:v>
                </c:pt>
                <c:pt idx="243">
                  <c:v>51352</c:v>
                </c:pt>
                <c:pt idx="244">
                  <c:v>51383</c:v>
                </c:pt>
                <c:pt idx="245">
                  <c:v>51414</c:v>
                </c:pt>
                <c:pt idx="246">
                  <c:v>51444</c:v>
                </c:pt>
                <c:pt idx="247">
                  <c:v>51474</c:v>
                </c:pt>
                <c:pt idx="248">
                  <c:v>51505</c:v>
                </c:pt>
                <c:pt idx="249">
                  <c:v>51536</c:v>
                </c:pt>
                <c:pt idx="250">
                  <c:v>51564</c:v>
                </c:pt>
                <c:pt idx="251">
                  <c:v>51597</c:v>
                </c:pt>
                <c:pt idx="252">
                  <c:v>51625</c:v>
                </c:pt>
                <c:pt idx="253">
                  <c:v>51657</c:v>
                </c:pt>
                <c:pt idx="254">
                  <c:v>51687</c:v>
                </c:pt>
                <c:pt idx="255">
                  <c:v>51717</c:v>
                </c:pt>
                <c:pt idx="256">
                  <c:v>51748</c:v>
                </c:pt>
                <c:pt idx="257">
                  <c:v>51778</c:v>
                </c:pt>
                <c:pt idx="258">
                  <c:v>51809</c:v>
                </c:pt>
                <c:pt idx="259">
                  <c:v>51841</c:v>
                </c:pt>
                <c:pt idx="260">
                  <c:v>51870</c:v>
                </c:pt>
                <c:pt idx="261">
                  <c:v>51901</c:v>
                </c:pt>
                <c:pt idx="262">
                  <c:v>51929</c:v>
                </c:pt>
                <c:pt idx="263">
                  <c:v>51961</c:v>
                </c:pt>
                <c:pt idx="264">
                  <c:v>51990</c:v>
                </c:pt>
                <c:pt idx="265">
                  <c:v>52024</c:v>
                </c:pt>
                <c:pt idx="266">
                  <c:v>52051</c:v>
                </c:pt>
                <c:pt idx="267">
                  <c:v>52082</c:v>
                </c:pt>
                <c:pt idx="268">
                  <c:v>52115</c:v>
                </c:pt>
                <c:pt idx="269">
                  <c:v>52143</c:v>
                </c:pt>
                <c:pt idx="270">
                  <c:v>52174</c:v>
                </c:pt>
                <c:pt idx="271">
                  <c:v>52205</c:v>
                </c:pt>
                <c:pt idx="272">
                  <c:v>52235</c:v>
                </c:pt>
                <c:pt idx="273">
                  <c:v>52266</c:v>
                </c:pt>
                <c:pt idx="274">
                  <c:v>52296</c:v>
                </c:pt>
                <c:pt idx="275">
                  <c:v>52325</c:v>
                </c:pt>
                <c:pt idx="276">
                  <c:v>52355</c:v>
                </c:pt>
                <c:pt idx="277">
                  <c:v>52388</c:v>
                </c:pt>
                <c:pt idx="278">
                  <c:v>52416</c:v>
                </c:pt>
                <c:pt idx="279">
                  <c:v>52447</c:v>
                </c:pt>
                <c:pt idx="280">
                  <c:v>52479</c:v>
                </c:pt>
                <c:pt idx="281">
                  <c:v>52508</c:v>
                </c:pt>
                <c:pt idx="282">
                  <c:v>52539</c:v>
                </c:pt>
                <c:pt idx="283">
                  <c:v>52569</c:v>
                </c:pt>
                <c:pt idx="284">
                  <c:v>52600</c:v>
                </c:pt>
                <c:pt idx="285">
                  <c:v>52631</c:v>
                </c:pt>
                <c:pt idx="286">
                  <c:v>52660</c:v>
                </c:pt>
                <c:pt idx="287">
                  <c:v>52691</c:v>
                </c:pt>
                <c:pt idx="288">
                  <c:v>52723</c:v>
                </c:pt>
                <c:pt idx="289">
                  <c:v>52753</c:v>
                </c:pt>
                <c:pt idx="290">
                  <c:v>52782</c:v>
                </c:pt>
                <c:pt idx="291">
                  <c:v>52815</c:v>
                </c:pt>
                <c:pt idx="292">
                  <c:v>52844</c:v>
                </c:pt>
                <c:pt idx="293">
                  <c:v>52874</c:v>
                </c:pt>
                <c:pt idx="294">
                  <c:v>52906</c:v>
                </c:pt>
                <c:pt idx="295">
                  <c:v>52935</c:v>
                </c:pt>
                <c:pt idx="296">
                  <c:v>52968</c:v>
                </c:pt>
                <c:pt idx="297">
                  <c:v>52999</c:v>
                </c:pt>
                <c:pt idx="298">
                  <c:v>53025</c:v>
                </c:pt>
                <c:pt idx="299">
                  <c:v>53056</c:v>
                </c:pt>
                <c:pt idx="300">
                  <c:v>53087</c:v>
                </c:pt>
                <c:pt idx="301">
                  <c:v>53118</c:v>
                </c:pt>
                <c:pt idx="302">
                  <c:v>53147</c:v>
                </c:pt>
                <c:pt idx="303">
                  <c:v>53179</c:v>
                </c:pt>
                <c:pt idx="304">
                  <c:v>53209</c:v>
                </c:pt>
                <c:pt idx="305">
                  <c:v>53241</c:v>
                </c:pt>
                <c:pt idx="306">
                  <c:v>53270</c:v>
                </c:pt>
                <c:pt idx="307">
                  <c:v>53300</c:v>
                </c:pt>
                <c:pt idx="308">
                  <c:v>53332</c:v>
                </c:pt>
                <c:pt idx="309">
                  <c:v>53363</c:v>
                </c:pt>
                <c:pt idx="310">
                  <c:v>53390</c:v>
                </c:pt>
                <c:pt idx="311">
                  <c:v>53421</c:v>
                </c:pt>
                <c:pt idx="312">
                  <c:v>53451</c:v>
                </c:pt>
                <c:pt idx="313">
                  <c:v>53483</c:v>
                </c:pt>
                <c:pt idx="314">
                  <c:v>53514</c:v>
                </c:pt>
                <c:pt idx="315">
                  <c:v>53543</c:v>
                </c:pt>
                <c:pt idx="316">
                  <c:v>53574</c:v>
                </c:pt>
                <c:pt idx="317">
                  <c:v>53605</c:v>
                </c:pt>
                <c:pt idx="318">
                  <c:v>53635</c:v>
                </c:pt>
                <c:pt idx="319">
                  <c:v>53665</c:v>
                </c:pt>
                <c:pt idx="320">
                  <c:v>53696</c:v>
                </c:pt>
                <c:pt idx="321">
                  <c:v>53727</c:v>
                </c:pt>
                <c:pt idx="322">
                  <c:v>53755</c:v>
                </c:pt>
                <c:pt idx="323">
                  <c:v>53788</c:v>
                </c:pt>
                <c:pt idx="324">
                  <c:v>53816</c:v>
                </c:pt>
                <c:pt idx="325">
                  <c:v>53848</c:v>
                </c:pt>
                <c:pt idx="326">
                  <c:v>53878</c:v>
                </c:pt>
                <c:pt idx="327">
                  <c:v>53908</c:v>
                </c:pt>
                <c:pt idx="328">
                  <c:v>53939</c:v>
                </c:pt>
                <c:pt idx="329">
                  <c:v>53969</c:v>
                </c:pt>
                <c:pt idx="330">
                  <c:v>54000</c:v>
                </c:pt>
                <c:pt idx="331">
                  <c:v>54032</c:v>
                </c:pt>
                <c:pt idx="332">
                  <c:v>54061</c:v>
                </c:pt>
                <c:pt idx="333">
                  <c:v>54092</c:v>
                </c:pt>
                <c:pt idx="334">
                  <c:v>54123</c:v>
                </c:pt>
                <c:pt idx="335">
                  <c:v>54152</c:v>
                </c:pt>
                <c:pt idx="336">
                  <c:v>54182</c:v>
                </c:pt>
                <c:pt idx="337">
                  <c:v>54215</c:v>
                </c:pt>
                <c:pt idx="338">
                  <c:v>54243</c:v>
                </c:pt>
                <c:pt idx="339">
                  <c:v>54274</c:v>
                </c:pt>
                <c:pt idx="340">
                  <c:v>54306</c:v>
                </c:pt>
                <c:pt idx="341">
                  <c:v>54335</c:v>
                </c:pt>
                <c:pt idx="342">
                  <c:v>54366</c:v>
                </c:pt>
                <c:pt idx="343">
                  <c:v>54396</c:v>
                </c:pt>
                <c:pt idx="344">
                  <c:v>54427</c:v>
                </c:pt>
                <c:pt idx="345">
                  <c:v>54458</c:v>
                </c:pt>
                <c:pt idx="346">
                  <c:v>54487</c:v>
                </c:pt>
                <c:pt idx="347">
                  <c:v>54517</c:v>
                </c:pt>
                <c:pt idx="348">
                  <c:v>54547</c:v>
                </c:pt>
                <c:pt idx="349">
                  <c:v>54580</c:v>
                </c:pt>
                <c:pt idx="350">
                  <c:v>54608</c:v>
                </c:pt>
                <c:pt idx="351">
                  <c:v>54642</c:v>
                </c:pt>
                <c:pt idx="352">
                  <c:v>54670</c:v>
                </c:pt>
                <c:pt idx="353">
                  <c:v>54700</c:v>
                </c:pt>
                <c:pt idx="354">
                  <c:v>54733</c:v>
                </c:pt>
                <c:pt idx="355">
                  <c:v>54761</c:v>
                </c:pt>
                <c:pt idx="356">
                  <c:v>54792</c:v>
                </c:pt>
                <c:pt idx="357">
                  <c:v>54823</c:v>
                </c:pt>
                <c:pt idx="358">
                  <c:v>54851</c:v>
                </c:pt>
                <c:pt idx="359">
                  <c:v>54882</c:v>
                </c:pt>
                <c:pt idx="360">
                  <c:v>54914</c:v>
                </c:pt>
                <c:pt idx="361">
                  <c:v>54944</c:v>
                </c:pt>
                <c:pt idx="362">
                  <c:v>54973</c:v>
                </c:pt>
                <c:pt idx="363">
                  <c:v>55006</c:v>
                </c:pt>
                <c:pt idx="364">
                  <c:v>55035</c:v>
                </c:pt>
                <c:pt idx="365">
                  <c:v>55065</c:v>
                </c:pt>
                <c:pt idx="366">
                  <c:v>55097</c:v>
                </c:pt>
                <c:pt idx="367">
                  <c:v>55126</c:v>
                </c:pt>
                <c:pt idx="368">
                  <c:v>55159</c:v>
                </c:pt>
                <c:pt idx="369">
                  <c:v>55190</c:v>
                </c:pt>
                <c:pt idx="370">
                  <c:v>55216</c:v>
                </c:pt>
                <c:pt idx="371">
                  <c:v>55247</c:v>
                </c:pt>
                <c:pt idx="372">
                  <c:v>55278</c:v>
                </c:pt>
                <c:pt idx="373">
                  <c:v>55309</c:v>
                </c:pt>
                <c:pt idx="374">
                  <c:v>55338</c:v>
                </c:pt>
                <c:pt idx="375">
                  <c:v>55370</c:v>
                </c:pt>
                <c:pt idx="376">
                  <c:v>55400</c:v>
                </c:pt>
                <c:pt idx="377">
                  <c:v>55432</c:v>
                </c:pt>
                <c:pt idx="378">
                  <c:v>55461</c:v>
                </c:pt>
                <c:pt idx="379">
                  <c:v>55491</c:v>
                </c:pt>
                <c:pt idx="380">
                  <c:v>55523</c:v>
                </c:pt>
                <c:pt idx="381">
                  <c:v>55553</c:v>
                </c:pt>
                <c:pt idx="382">
                  <c:v>55582</c:v>
                </c:pt>
                <c:pt idx="383">
                  <c:v>55615</c:v>
                </c:pt>
                <c:pt idx="384">
                  <c:v>55643</c:v>
                </c:pt>
                <c:pt idx="385">
                  <c:v>55675</c:v>
                </c:pt>
                <c:pt idx="386">
                  <c:v>55705</c:v>
                </c:pt>
                <c:pt idx="387">
                  <c:v>55735</c:v>
                </c:pt>
                <c:pt idx="388">
                  <c:v>55766</c:v>
                </c:pt>
                <c:pt idx="389">
                  <c:v>55796</c:v>
                </c:pt>
                <c:pt idx="390">
                  <c:v>55827</c:v>
                </c:pt>
                <c:pt idx="391">
                  <c:v>55859</c:v>
                </c:pt>
                <c:pt idx="392">
                  <c:v>55888</c:v>
                </c:pt>
                <c:pt idx="393">
                  <c:v>55919</c:v>
                </c:pt>
                <c:pt idx="394">
                  <c:v>55947</c:v>
                </c:pt>
                <c:pt idx="395">
                  <c:v>55979</c:v>
                </c:pt>
                <c:pt idx="396">
                  <c:v>56008</c:v>
                </c:pt>
                <c:pt idx="397">
                  <c:v>56042</c:v>
                </c:pt>
                <c:pt idx="398">
                  <c:v>56069</c:v>
                </c:pt>
                <c:pt idx="399">
                  <c:v>56100</c:v>
                </c:pt>
                <c:pt idx="400">
                  <c:v>56133</c:v>
                </c:pt>
                <c:pt idx="401">
                  <c:v>56161</c:v>
                </c:pt>
                <c:pt idx="402">
                  <c:v>56192</c:v>
                </c:pt>
                <c:pt idx="403">
                  <c:v>56223</c:v>
                </c:pt>
                <c:pt idx="404">
                  <c:v>56253</c:v>
                </c:pt>
                <c:pt idx="405">
                  <c:v>56284</c:v>
                </c:pt>
                <c:pt idx="406">
                  <c:v>56314</c:v>
                </c:pt>
                <c:pt idx="407">
                  <c:v>56343</c:v>
                </c:pt>
                <c:pt idx="408">
                  <c:v>56373</c:v>
                </c:pt>
                <c:pt idx="409">
                  <c:v>56406</c:v>
                </c:pt>
                <c:pt idx="410">
                  <c:v>56434</c:v>
                </c:pt>
                <c:pt idx="411">
                  <c:v>56465</c:v>
                </c:pt>
                <c:pt idx="412">
                  <c:v>56497</c:v>
                </c:pt>
                <c:pt idx="413">
                  <c:v>56526</c:v>
                </c:pt>
                <c:pt idx="414">
                  <c:v>56557</c:v>
                </c:pt>
                <c:pt idx="415">
                  <c:v>56587</c:v>
                </c:pt>
                <c:pt idx="416">
                  <c:v>56618</c:v>
                </c:pt>
                <c:pt idx="417">
                  <c:v>56649</c:v>
                </c:pt>
                <c:pt idx="418">
                  <c:v>56678</c:v>
                </c:pt>
                <c:pt idx="419">
                  <c:v>56708</c:v>
                </c:pt>
                <c:pt idx="420">
                  <c:v>56738</c:v>
                </c:pt>
                <c:pt idx="421">
                  <c:v>56771</c:v>
                </c:pt>
                <c:pt idx="422">
                  <c:v>56799</c:v>
                </c:pt>
                <c:pt idx="423">
                  <c:v>56833</c:v>
                </c:pt>
                <c:pt idx="424">
                  <c:v>56861</c:v>
                </c:pt>
                <c:pt idx="425">
                  <c:v>56891</c:v>
                </c:pt>
                <c:pt idx="426">
                  <c:v>56924</c:v>
                </c:pt>
                <c:pt idx="427">
                  <c:v>56952</c:v>
                </c:pt>
                <c:pt idx="428">
                  <c:v>56983</c:v>
                </c:pt>
                <c:pt idx="429">
                  <c:v>57016</c:v>
                </c:pt>
                <c:pt idx="430">
                  <c:v>57043</c:v>
                </c:pt>
                <c:pt idx="431">
                  <c:v>57074</c:v>
                </c:pt>
                <c:pt idx="432">
                  <c:v>57105</c:v>
                </c:pt>
                <c:pt idx="433">
                  <c:v>57136</c:v>
                </c:pt>
                <c:pt idx="434">
                  <c:v>57165</c:v>
                </c:pt>
                <c:pt idx="435">
                  <c:v>57197</c:v>
                </c:pt>
                <c:pt idx="436">
                  <c:v>57227</c:v>
                </c:pt>
                <c:pt idx="437">
                  <c:v>57259</c:v>
                </c:pt>
                <c:pt idx="438">
                  <c:v>57288</c:v>
                </c:pt>
                <c:pt idx="439">
                  <c:v>57318</c:v>
                </c:pt>
                <c:pt idx="440">
                  <c:v>57350</c:v>
                </c:pt>
                <c:pt idx="441">
                  <c:v>57381</c:v>
                </c:pt>
                <c:pt idx="442">
                  <c:v>57408</c:v>
                </c:pt>
                <c:pt idx="443">
                  <c:v>57439</c:v>
                </c:pt>
                <c:pt idx="444">
                  <c:v>57469</c:v>
                </c:pt>
                <c:pt idx="445">
                  <c:v>57501</c:v>
                </c:pt>
                <c:pt idx="446">
                  <c:v>57532</c:v>
                </c:pt>
                <c:pt idx="447">
                  <c:v>57561</c:v>
                </c:pt>
                <c:pt idx="448">
                  <c:v>57592</c:v>
                </c:pt>
                <c:pt idx="449">
                  <c:v>57623</c:v>
                </c:pt>
                <c:pt idx="450">
                  <c:v>57653</c:v>
                </c:pt>
                <c:pt idx="451">
                  <c:v>57683</c:v>
                </c:pt>
                <c:pt idx="452">
                  <c:v>57714</c:v>
                </c:pt>
                <c:pt idx="453">
                  <c:v>57745</c:v>
                </c:pt>
                <c:pt idx="454">
                  <c:v>57773</c:v>
                </c:pt>
                <c:pt idx="455">
                  <c:v>57806</c:v>
                </c:pt>
                <c:pt idx="456">
                  <c:v>57834</c:v>
                </c:pt>
                <c:pt idx="457">
                  <c:v>57866</c:v>
                </c:pt>
                <c:pt idx="458">
                  <c:v>57896</c:v>
                </c:pt>
                <c:pt idx="459">
                  <c:v>57926</c:v>
                </c:pt>
                <c:pt idx="460">
                  <c:v>57957</c:v>
                </c:pt>
                <c:pt idx="461">
                  <c:v>57987</c:v>
                </c:pt>
                <c:pt idx="462">
                  <c:v>58018</c:v>
                </c:pt>
                <c:pt idx="463">
                  <c:v>58050</c:v>
                </c:pt>
                <c:pt idx="464">
                  <c:v>58079</c:v>
                </c:pt>
                <c:pt idx="465">
                  <c:v>58110</c:v>
                </c:pt>
                <c:pt idx="466">
                  <c:v>58138</c:v>
                </c:pt>
                <c:pt idx="467">
                  <c:v>58170</c:v>
                </c:pt>
                <c:pt idx="468">
                  <c:v>58199</c:v>
                </c:pt>
                <c:pt idx="469">
                  <c:v>58233</c:v>
                </c:pt>
                <c:pt idx="470">
                  <c:v>58260</c:v>
                </c:pt>
                <c:pt idx="471">
                  <c:v>58291</c:v>
                </c:pt>
                <c:pt idx="472">
                  <c:v>58324</c:v>
                </c:pt>
                <c:pt idx="473">
                  <c:v>58352</c:v>
                </c:pt>
                <c:pt idx="474">
                  <c:v>58383</c:v>
                </c:pt>
                <c:pt idx="475">
                  <c:v>58414</c:v>
                </c:pt>
                <c:pt idx="476">
                  <c:v>58444</c:v>
                </c:pt>
                <c:pt idx="477">
                  <c:v>58475</c:v>
                </c:pt>
                <c:pt idx="478">
                  <c:v>58505</c:v>
                </c:pt>
                <c:pt idx="479">
                  <c:v>58531</c:v>
                </c:pt>
              </c:numCache>
            </c:numRef>
          </c:cat>
          <c:val>
            <c:numRef>
              <c:f>Benchmarking!$B$2:$B$481</c:f>
              <c:numCache>
                <c:formatCode>0.00000</c:formatCode>
                <c:ptCount val="480"/>
                <c:pt idx="0">
                  <c:v>2.57395769351479E-2</c:v>
                </c:pt>
                <c:pt idx="1">
                  <c:v>2.49494302300424E-2</c:v>
                </c:pt>
                <c:pt idx="2">
                  <c:v>2.4734039886167201E-2</c:v>
                </c:pt>
                <c:pt idx="3">
                  <c:v>2.4734039886167201E-2</c:v>
                </c:pt>
                <c:pt idx="4">
                  <c:v>2.74677516956051E-2</c:v>
                </c:pt>
                <c:pt idx="5">
                  <c:v>2.9194309837997E-2</c:v>
                </c:pt>
                <c:pt idx="6">
                  <c:v>2.9194298000678701E-2</c:v>
                </c:pt>
                <c:pt idx="7">
                  <c:v>3.48337988345606E-2</c:v>
                </c:pt>
                <c:pt idx="8">
                  <c:v>3.8395595469225198E-2</c:v>
                </c:pt>
                <c:pt idx="9">
                  <c:v>3.8395534044166603E-2</c:v>
                </c:pt>
                <c:pt idx="10">
                  <c:v>4.37083602461419E-2</c:v>
                </c:pt>
                <c:pt idx="11">
                  <c:v>4.7343348016592998E-2</c:v>
                </c:pt>
                <c:pt idx="12">
                  <c:v>4.73433791465733E-2</c:v>
                </c:pt>
                <c:pt idx="13">
                  <c:v>4.9656720463781001E-2</c:v>
                </c:pt>
                <c:pt idx="14">
                  <c:v>5.1044672671406097E-2</c:v>
                </c:pt>
                <c:pt idx="15">
                  <c:v>5.1044781234795902E-2</c:v>
                </c:pt>
                <c:pt idx="16">
                  <c:v>6.4310239678100303E-2</c:v>
                </c:pt>
                <c:pt idx="17">
                  <c:v>6.9134198122911703E-2</c:v>
                </c:pt>
                <c:pt idx="18">
                  <c:v>6.9134264504167001E-2</c:v>
                </c:pt>
                <c:pt idx="19">
                  <c:v>6.9134198123169593E-2</c:v>
                </c:pt>
                <c:pt idx="20">
                  <c:v>6.9134198122911703E-2</c:v>
                </c:pt>
                <c:pt idx="21">
                  <c:v>6.9133998979850203E-2</c:v>
                </c:pt>
                <c:pt idx="22">
                  <c:v>6.9134198123169593E-2</c:v>
                </c:pt>
                <c:pt idx="23">
                  <c:v>6.9134131741765997E-2</c:v>
                </c:pt>
                <c:pt idx="24">
                  <c:v>0.107927829418809</c:v>
                </c:pt>
                <c:pt idx="25">
                  <c:v>0.11043017504031</c:v>
                </c:pt>
                <c:pt idx="26">
                  <c:v>0.110430344407669</c:v>
                </c:pt>
                <c:pt idx="27">
                  <c:v>0.11043068314380899</c:v>
                </c:pt>
                <c:pt idx="28">
                  <c:v>0.11043017504031</c:v>
                </c:pt>
                <c:pt idx="29">
                  <c:v>0.110430344407669</c:v>
                </c:pt>
                <c:pt idx="30">
                  <c:v>0.110430344407669</c:v>
                </c:pt>
                <c:pt idx="31">
                  <c:v>0.110430344407927</c:v>
                </c:pt>
                <c:pt idx="32">
                  <c:v>0.110430683144051</c:v>
                </c:pt>
                <c:pt idx="33">
                  <c:v>0.110429836306127</c:v>
                </c:pt>
                <c:pt idx="34">
                  <c:v>0.110430344407669</c:v>
                </c:pt>
                <c:pt idx="35">
                  <c:v>0.11043017504031</c:v>
                </c:pt>
                <c:pt idx="36">
                  <c:v>0.20612944875886299</c:v>
                </c:pt>
                <c:pt idx="37">
                  <c:v>0.21980004772483899</c:v>
                </c:pt>
                <c:pt idx="38">
                  <c:v>0.21980206061680099</c:v>
                </c:pt>
                <c:pt idx="39">
                  <c:v>0.21980138965002599</c:v>
                </c:pt>
                <c:pt idx="40">
                  <c:v>0.219800047725105</c:v>
                </c:pt>
                <c:pt idx="41">
                  <c:v>0.21980206061704299</c:v>
                </c:pt>
                <c:pt idx="42">
                  <c:v>0.219800047725105</c:v>
                </c:pt>
                <c:pt idx="43">
                  <c:v>0.219800718686121</c:v>
                </c:pt>
                <c:pt idx="44">
                  <c:v>0.21980138965002599</c:v>
                </c:pt>
                <c:pt idx="45">
                  <c:v>0.219799376766175</c:v>
                </c:pt>
                <c:pt idx="46">
                  <c:v>0.21980071868637899</c:v>
                </c:pt>
                <c:pt idx="47">
                  <c:v>0.21980138965002599</c:v>
                </c:pt>
                <c:pt idx="48">
                  <c:v>0.354145168997828</c:v>
                </c:pt>
                <c:pt idx="49">
                  <c:v>0.363410876254251</c:v>
                </c:pt>
                <c:pt idx="50">
                  <c:v>0.36341087625399399</c:v>
                </c:pt>
                <c:pt idx="51">
                  <c:v>0.363410876254251</c:v>
                </c:pt>
                <c:pt idx="52">
                  <c:v>0.36340904218130599</c:v>
                </c:pt>
                <c:pt idx="53">
                  <c:v>0.36341087625450902</c:v>
                </c:pt>
                <c:pt idx="54">
                  <c:v>0.36340904218103998</c:v>
                </c:pt>
                <c:pt idx="55">
                  <c:v>0.36341454443719401</c:v>
                </c:pt>
                <c:pt idx="56">
                  <c:v>0.363410876254251</c:v>
                </c:pt>
                <c:pt idx="57">
                  <c:v>0.36340537407251799</c:v>
                </c:pt>
                <c:pt idx="58">
                  <c:v>0.363410876254251</c:v>
                </c:pt>
                <c:pt idx="59">
                  <c:v>0.363410876254251</c:v>
                </c:pt>
                <c:pt idx="60">
                  <c:v>0.52594006274779703</c:v>
                </c:pt>
                <c:pt idx="61">
                  <c:v>0.53715782389695099</c:v>
                </c:pt>
                <c:pt idx="62">
                  <c:v>0.53714981033267895</c:v>
                </c:pt>
                <c:pt idx="63">
                  <c:v>0.53714981033319498</c:v>
                </c:pt>
                <c:pt idx="64">
                  <c:v>0.53715381709493204</c:v>
                </c:pt>
                <c:pt idx="65">
                  <c:v>0.53714981033267895</c:v>
                </c:pt>
                <c:pt idx="66">
                  <c:v>0.53714580361043895</c:v>
                </c:pt>
                <c:pt idx="67">
                  <c:v>0.53715381709493204</c:v>
                </c:pt>
                <c:pt idx="68">
                  <c:v>0.53714981033293696</c:v>
                </c:pt>
                <c:pt idx="69">
                  <c:v>0.53713779028573105</c:v>
                </c:pt>
                <c:pt idx="70">
                  <c:v>0.53715782389695099</c:v>
                </c:pt>
                <c:pt idx="71">
                  <c:v>0.53714580361043895</c:v>
                </c:pt>
                <c:pt idx="72">
                  <c:v>0.53714981033293696</c:v>
                </c:pt>
                <c:pt idx="73">
                  <c:v>0.53715381709493204</c:v>
                </c:pt>
                <c:pt idx="74">
                  <c:v>0.53714981033293696</c:v>
                </c:pt>
                <c:pt idx="75">
                  <c:v>0.53714981033242104</c:v>
                </c:pt>
                <c:pt idx="76">
                  <c:v>0.53714981033293696</c:v>
                </c:pt>
                <c:pt idx="77">
                  <c:v>0.53714981033267895</c:v>
                </c:pt>
                <c:pt idx="78">
                  <c:v>0.53714580361043895</c:v>
                </c:pt>
                <c:pt idx="79">
                  <c:v>0.53714981033293696</c:v>
                </c:pt>
                <c:pt idx="80">
                  <c:v>0.53714981033293696</c:v>
                </c:pt>
                <c:pt idx="81">
                  <c:v>0.53713779028515996</c:v>
                </c:pt>
                <c:pt idx="82">
                  <c:v>0.53715381709493204</c:v>
                </c:pt>
                <c:pt idx="83">
                  <c:v>0.53714580361070596</c:v>
                </c:pt>
                <c:pt idx="84">
                  <c:v>0.67038675727975605</c:v>
                </c:pt>
                <c:pt idx="85">
                  <c:v>0.67958248844263203</c:v>
                </c:pt>
                <c:pt idx="86">
                  <c:v>0.67957607543545795</c:v>
                </c:pt>
                <c:pt idx="87">
                  <c:v>0.67959531469824797</c:v>
                </c:pt>
                <c:pt idx="88">
                  <c:v>0.67956966250974904</c:v>
                </c:pt>
                <c:pt idx="89">
                  <c:v>0.67957607543571596</c:v>
                </c:pt>
                <c:pt idx="90">
                  <c:v>0.679582488442382</c:v>
                </c:pt>
                <c:pt idx="91">
                  <c:v>0.67957607543571596</c:v>
                </c:pt>
                <c:pt idx="92">
                  <c:v>0.67957607543571596</c:v>
                </c:pt>
                <c:pt idx="93">
                  <c:v>0.67957607543545795</c:v>
                </c:pt>
                <c:pt idx="94">
                  <c:v>0.67957607543571596</c:v>
                </c:pt>
                <c:pt idx="95">
                  <c:v>0.67956966250974904</c:v>
                </c:pt>
                <c:pt idx="96">
                  <c:v>0.679582488442382</c:v>
                </c:pt>
                <c:pt idx="97">
                  <c:v>0.67956966250974904</c:v>
                </c:pt>
                <c:pt idx="98">
                  <c:v>0.67958890152992002</c:v>
                </c:pt>
                <c:pt idx="99">
                  <c:v>0.67958248844263203</c:v>
                </c:pt>
                <c:pt idx="100">
                  <c:v>0.67956966250974904</c:v>
                </c:pt>
                <c:pt idx="101">
                  <c:v>0.67958890152992002</c:v>
                </c:pt>
                <c:pt idx="102">
                  <c:v>0.67956966250974904</c:v>
                </c:pt>
                <c:pt idx="103">
                  <c:v>0.67957607543597398</c:v>
                </c:pt>
                <c:pt idx="104">
                  <c:v>0.679582488442382</c:v>
                </c:pt>
                <c:pt idx="105">
                  <c:v>0.67955683689938495</c:v>
                </c:pt>
                <c:pt idx="106">
                  <c:v>0.67957607543545795</c:v>
                </c:pt>
                <c:pt idx="107">
                  <c:v>0.67956966250974904</c:v>
                </c:pt>
                <c:pt idx="108">
                  <c:v>0.67957607543571596</c:v>
                </c:pt>
                <c:pt idx="109">
                  <c:v>0.67957607543545795</c:v>
                </c:pt>
                <c:pt idx="110">
                  <c:v>0.67958248844263203</c:v>
                </c:pt>
                <c:pt idx="111">
                  <c:v>0.67957607543571596</c:v>
                </c:pt>
                <c:pt idx="112">
                  <c:v>0.67956966250974904</c:v>
                </c:pt>
                <c:pt idx="113">
                  <c:v>0.679582488442382</c:v>
                </c:pt>
                <c:pt idx="114">
                  <c:v>0.67956966250974904</c:v>
                </c:pt>
                <c:pt idx="115">
                  <c:v>0.67957607543571596</c:v>
                </c:pt>
                <c:pt idx="116">
                  <c:v>0.67957607543545795</c:v>
                </c:pt>
                <c:pt idx="117">
                  <c:v>0.67955683689966995</c:v>
                </c:pt>
                <c:pt idx="118">
                  <c:v>0.67957607543571596</c:v>
                </c:pt>
                <c:pt idx="119">
                  <c:v>0.679582488442382</c:v>
                </c:pt>
                <c:pt idx="120">
                  <c:v>0.72377938005054099</c:v>
                </c:pt>
                <c:pt idx="121">
                  <c:v>0.72682794580057597</c:v>
                </c:pt>
                <c:pt idx="122">
                  <c:v>0.72682794580057597</c:v>
                </c:pt>
                <c:pt idx="123">
                  <c:v>0.72682794580083399</c:v>
                </c:pt>
                <c:pt idx="124">
                  <c:v>0.72682061017363997</c:v>
                </c:pt>
                <c:pt idx="125">
                  <c:v>0.72682794580083399</c:v>
                </c:pt>
                <c:pt idx="126">
                  <c:v>0.72682061017363997</c:v>
                </c:pt>
                <c:pt idx="127">
                  <c:v>0.72684261735042399</c:v>
                </c:pt>
                <c:pt idx="128">
                  <c:v>0.72682794580083399</c:v>
                </c:pt>
                <c:pt idx="129">
                  <c:v>0.72680593921635295</c:v>
                </c:pt>
                <c:pt idx="130">
                  <c:v>0.72682794580057597</c:v>
                </c:pt>
                <c:pt idx="131">
                  <c:v>0.72682794580083399</c:v>
                </c:pt>
                <c:pt idx="132">
                  <c:v>0.72682794580057597</c:v>
                </c:pt>
                <c:pt idx="133">
                  <c:v>0.72684261735042399</c:v>
                </c:pt>
                <c:pt idx="134">
                  <c:v>0.72682794580031795</c:v>
                </c:pt>
                <c:pt idx="135">
                  <c:v>0.72682794580057597</c:v>
                </c:pt>
                <c:pt idx="136">
                  <c:v>0.72683528152600596</c:v>
                </c:pt>
                <c:pt idx="137">
                  <c:v>0.72682794580083399</c:v>
                </c:pt>
                <c:pt idx="138">
                  <c:v>0.72682061017363997</c:v>
                </c:pt>
                <c:pt idx="139">
                  <c:v>0.72683528152625598</c:v>
                </c:pt>
                <c:pt idx="140">
                  <c:v>0.72682794580083399</c:v>
                </c:pt>
                <c:pt idx="141">
                  <c:v>0.72681327464546397</c:v>
                </c:pt>
                <c:pt idx="142">
                  <c:v>0.72683528152625598</c:v>
                </c:pt>
                <c:pt idx="143">
                  <c:v>0.72682061017363997</c:v>
                </c:pt>
                <c:pt idx="144">
                  <c:v>0.72027652123772501</c:v>
                </c:pt>
                <c:pt idx="145">
                  <c:v>0.71983189527133296</c:v>
                </c:pt>
                <c:pt idx="146">
                  <c:v>0.71982470021532297</c:v>
                </c:pt>
                <c:pt idx="147">
                  <c:v>0.71984628567098496</c:v>
                </c:pt>
                <c:pt idx="148">
                  <c:v>0.719817505255538</c:v>
                </c:pt>
                <c:pt idx="149">
                  <c:v>0.71982470021558098</c:v>
                </c:pt>
                <c:pt idx="150">
                  <c:v>0.71983189527158298</c:v>
                </c:pt>
                <c:pt idx="151">
                  <c:v>0.719824700215838</c:v>
                </c:pt>
                <c:pt idx="152">
                  <c:v>0.71982470021558098</c:v>
                </c:pt>
                <c:pt idx="153">
                  <c:v>0.71980311562306198</c:v>
                </c:pt>
                <c:pt idx="154">
                  <c:v>0.71982470021558098</c:v>
                </c:pt>
                <c:pt idx="155">
                  <c:v>0.71981750525580401</c:v>
                </c:pt>
                <c:pt idx="156">
                  <c:v>0.71983909042329997</c:v>
                </c:pt>
                <c:pt idx="157">
                  <c:v>0.719817505255538</c:v>
                </c:pt>
                <c:pt idx="158">
                  <c:v>0.71982470021558098</c:v>
                </c:pt>
                <c:pt idx="159">
                  <c:v>0.71983909042329997</c:v>
                </c:pt>
                <c:pt idx="160">
                  <c:v>0.719817505255538</c:v>
                </c:pt>
                <c:pt idx="161">
                  <c:v>0.71982470021558098</c:v>
                </c:pt>
                <c:pt idx="162">
                  <c:v>0.71982470021558098</c:v>
                </c:pt>
                <c:pt idx="163">
                  <c:v>0.71982470021532297</c:v>
                </c:pt>
                <c:pt idx="164">
                  <c:v>0.71983909042305805</c:v>
                </c:pt>
                <c:pt idx="165">
                  <c:v>0.71980311562334698</c:v>
                </c:pt>
                <c:pt idx="166">
                  <c:v>0.71982470021558098</c:v>
                </c:pt>
                <c:pt idx="167">
                  <c:v>0.719817505255538</c:v>
                </c:pt>
                <c:pt idx="168">
                  <c:v>0.71983189527158298</c:v>
                </c:pt>
                <c:pt idx="169">
                  <c:v>0.719817505255271</c:v>
                </c:pt>
                <c:pt idx="170">
                  <c:v>0.71983909042329997</c:v>
                </c:pt>
                <c:pt idx="171">
                  <c:v>0.71983189527158298</c:v>
                </c:pt>
                <c:pt idx="172">
                  <c:v>0.719817505255271</c:v>
                </c:pt>
                <c:pt idx="173">
                  <c:v>0.71983909042329997</c:v>
                </c:pt>
                <c:pt idx="174">
                  <c:v>0.719817505255271</c:v>
                </c:pt>
                <c:pt idx="175">
                  <c:v>0.71982470021532297</c:v>
                </c:pt>
                <c:pt idx="176">
                  <c:v>0.71983189527158298</c:v>
                </c:pt>
                <c:pt idx="177">
                  <c:v>0.71980311562306198</c:v>
                </c:pt>
                <c:pt idx="178">
                  <c:v>0.71982470021558098</c:v>
                </c:pt>
                <c:pt idx="179">
                  <c:v>0.719817505255271</c:v>
                </c:pt>
                <c:pt idx="180">
                  <c:v>0.71013781736179105</c:v>
                </c:pt>
                <c:pt idx="181">
                  <c:v>0.70870273047349897</c:v>
                </c:pt>
                <c:pt idx="182">
                  <c:v>0.708709704927868</c:v>
                </c:pt>
                <c:pt idx="183">
                  <c:v>0.70870273047349897</c:v>
                </c:pt>
                <c:pt idx="184">
                  <c:v>0.70869575611070001</c:v>
                </c:pt>
                <c:pt idx="185">
                  <c:v>0.708709704927868</c:v>
                </c:pt>
                <c:pt idx="186">
                  <c:v>0.70869575611043401</c:v>
                </c:pt>
                <c:pt idx="187">
                  <c:v>0.70870273047349897</c:v>
                </c:pt>
                <c:pt idx="188">
                  <c:v>0.70870273047349897</c:v>
                </c:pt>
                <c:pt idx="189">
                  <c:v>0.70868878183929596</c:v>
                </c:pt>
                <c:pt idx="190">
                  <c:v>0.70870273047349897</c:v>
                </c:pt>
                <c:pt idx="191">
                  <c:v>0.70870273047349897</c:v>
                </c:pt>
                <c:pt idx="192">
                  <c:v>0.70870273047375698</c:v>
                </c:pt>
                <c:pt idx="193">
                  <c:v>0.70871667947371797</c:v>
                </c:pt>
                <c:pt idx="194">
                  <c:v>0.70870273047349897</c:v>
                </c:pt>
                <c:pt idx="195">
                  <c:v>0.70870273047349897</c:v>
                </c:pt>
                <c:pt idx="196">
                  <c:v>0.70870970492761798</c:v>
                </c:pt>
                <c:pt idx="197">
                  <c:v>0.70870273047349897</c:v>
                </c:pt>
                <c:pt idx="198">
                  <c:v>0.70869575611043401</c:v>
                </c:pt>
                <c:pt idx="199">
                  <c:v>0.708709704927868</c:v>
                </c:pt>
                <c:pt idx="200">
                  <c:v>0.70870273047349897</c:v>
                </c:pt>
                <c:pt idx="201">
                  <c:v>0.70868180765965805</c:v>
                </c:pt>
                <c:pt idx="202">
                  <c:v>0.70871667947371797</c:v>
                </c:pt>
                <c:pt idx="203">
                  <c:v>0.70869575611043401</c:v>
                </c:pt>
                <c:pt idx="204">
                  <c:v>0.70870273047349897</c:v>
                </c:pt>
                <c:pt idx="205">
                  <c:v>0.708709704927868</c:v>
                </c:pt>
                <c:pt idx="206">
                  <c:v>0.70870273047349897</c:v>
                </c:pt>
                <c:pt idx="207">
                  <c:v>0.70870273047349897</c:v>
                </c:pt>
                <c:pt idx="208">
                  <c:v>0.70870273047349897</c:v>
                </c:pt>
                <c:pt idx="209">
                  <c:v>0.70870273047349897</c:v>
                </c:pt>
                <c:pt idx="210">
                  <c:v>0.70869575611070001</c:v>
                </c:pt>
                <c:pt idx="211">
                  <c:v>0.70870273047349897</c:v>
                </c:pt>
                <c:pt idx="212">
                  <c:v>0.70870273047349897</c:v>
                </c:pt>
                <c:pt idx="213">
                  <c:v>0.70868180765965805</c:v>
                </c:pt>
                <c:pt idx="214">
                  <c:v>0.708709704927868</c:v>
                </c:pt>
                <c:pt idx="215">
                  <c:v>0.70869575611043401</c:v>
                </c:pt>
                <c:pt idx="216">
                  <c:v>0.70870273047349897</c:v>
                </c:pt>
                <c:pt idx="217">
                  <c:v>0.708709704927868</c:v>
                </c:pt>
                <c:pt idx="218">
                  <c:v>0.70870273047349897</c:v>
                </c:pt>
                <c:pt idx="219">
                  <c:v>0.70872365411097105</c:v>
                </c:pt>
                <c:pt idx="220">
                  <c:v>0.70869575611070001</c:v>
                </c:pt>
                <c:pt idx="221">
                  <c:v>0.70870273047349897</c:v>
                </c:pt>
                <c:pt idx="222">
                  <c:v>0.70870970492811802</c:v>
                </c:pt>
                <c:pt idx="223">
                  <c:v>0.70870273047349897</c:v>
                </c:pt>
                <c:pt idx="224">
                  <c:v>0.70870273047349897</c:v>
                </c:pt>
                <c:pt idx="225">
                  <c:v>0.70868180765965805</c:v>
                </c:pt>
                <c:pt idx="226">
                  <c:v>0.70870273047349897</c:v>
                </c:pt>
                <c:pt idx="227">
                  <c:v>0.70869575611070001</c:v>
                </c:pt>
                <c:pt idx="228">
                  <c:v>0.70871667947371797</c:v>
                </c:pt>
                <c:pt idx="229">
                  <c:v>0.70869575611043401</c:v>
                </c:pt>
                <c:pt idx="230">
                  <c:v>0.70870273047349897</c:v>
                </c:pt>
                <c:pt idx="231">
                  <c:v>0.70871667947371797</c:v>
                </c:pt>
                <c:pt idx="232">
                  <c:v>0.70869575611070001</c:v>
                </c:pt>
                <c:pt idx="233">
                  <c:v>0.70870273047375698</c:v>
                </c:pt>
                <c:pt idx="234">
                  <c:v>0.70870273047349897</c:v>
                </c:pt>
                <c:pt idx="235">
                  <c:v>0.70870273047324095</c:v>
                </c:pt>
                <c:pt idx="236">
                  <c:v>0.70871667947396</c:v>
                </c:pt>
                <c:pt idx="237">
                  <c:v>0.70868878183929596</c:v>
                </c:pt>
                <c:pt idx="238">
                  <c:v>0.70870273047349897</c:v>
                </c:pt>
                <c:pt idx="239">
                  <c:v>0.70869575611070001</c:v>
                </c:pt>
                <c:pt idx="240">
                  <c:v>0.63711717725567496</c:v>
                </c:pt>
                <c:pt idx="241">
                  <c:v>0.62651228518614399</c:v>
                </c:pt>
                <c:pt idx="242">
                  <c:v>0.62651773587132897</c:v>
                </c:pt>
                <c:pt idx="243">
                  <c:v>0.62651228518614399</c:v>
                </c:pt>
                <c:pt idx="244">
                  <c:v>0.62650683456402201</c:v>
                </c:pt>
                <c:pt idx="245">
                  <c:v>0.626517735871579</c:v>
                </c:pt>
                <c:pt idx="246">
                  <c:v>0.62650683456402201</c:v>
                </c:pt>
                <c:pt idx="247">
                  <c:v>0.62651228518614399</c:v>
                </c:pt>
                <c:pt idx="248">
                  <c:v>0.62651228518614399</c:v>
                </c:pt>
                <c:pt idx="249">
                  <c:v>0.62649593350916299</c:v>
                </c:pt>
                <c:pt idx="250">
                  <c:v>0.62651228518588598</c:v>
                </c:pt>
                <c:pt idx="251">
                  <c:v>0.626517735871579</c:v>
                </c:pt>
                <c:pt idx="252">
                  <c:v>0.62651228518614399</c:v>
                </c:pt>
                <c:pt idx="253">
                  <c:v>0.62651228518614399</c:v>
                </c:pt>
                <c:pt idx="254">
                  <c:v>0.62651228518614399</c:v>
                </c:pt>
                <c:pt idx="255">
                  <c:v>0.62651228518614399</c:v>
                </c:pt>
                <c:pt idx="256">
                  <c:v>0.626506834563756</c:v>
                </c:pt>
                <c:pt idx="257">
                  <c:v>0.62651228518614399</c:v>
                </c:pt>
                <c:pt idx="258">
                  <c:v>0.62650683456402201</c:v>
                </c:pt>
                <c:pt idx="259">
                  <c:v>0.62652318662014395</c:v>
                </c:pt>
                <c:pt idx="260">
                  <c:v>0.62651228518614399</c:v>
                </c:pt>
                <c:pt idx="261">
                  <c:v>0.62649593350916299</c:v>
                </c:pt>
                <c:pt idx="262">
                  <c:v>0.62651228518614399</c:v>
                </c:pt>
                <c:pt idx="263">
                  <c:v>0.62651228518614399</c:v>
                </c:pt>
                <c:pt idx="264">
                  <c:v>0.62651228518614399</c:v>
                </c:pt>
                <c:pt idx="265">
                  <c:v>0.62652318662014395</c:v>
                </c:pt>
                <c:pt idx="266">
                  <c:v>0.62651228518614399</c:v>
                </c:pt>
                <c:pt idx="267">
                  <c:v>0.62651228518614399</c:v>
                </c:pt>
                <c:pt idx="268">
                  <c:v>0.626517735871579</c:v>
                </c:pt>
                <c:pt idx="269">
                  <c:v>0.62651228518588598</c:v>
                </c:pt>
                <c:pt idx="270">
                  <c:v>0.62650683456402201</c:v>
                </c:pt>
                <c:pt idx="271">
                  <c:v>0.626517735871579</c:v>
                </c:pt>
                <c:pt idx="272">
                  <c:v>0.62651228518614399</c:v>
                </c:pt>
                <c:pt idx="273">
                  <c:v>0.62649593350916299</c:v>
                </c:pt>
                <c:pt idx="274">
                  <c:v>0.62652318662014395</c:v>
                </c:pt>
                <c:pt idx="275">
                  <c:v>0.62650683456402201</c:v>
                </c:pt>
                <c:pt idx="276">
                  <c:v>0.62651228518614399</c:v>
                </c:pt>
                <c:pt idx="277">
                  <c:v>0.626517735871579</c:v>
                </c:pt>
                <c:pt idx="278">
                  <c:v>0.62651228518588598</c:v>
                </c:pt>
                <c:pt idx="279">
                  <c:v>0.62651228518614399</c:v>
                </c:pt>
                <c:pt idx="280">
                  <c:v>0.62651228518588598</c:v>
                </c:pt>
                <c:pt idx="281">
                  <c:v>0.62651228518640201</c:v>
                </c:pt>
                <c:pt idx="282">
                  <c:v>0.62650683456402201</c:v>
                </c:pt>
                <c:pt idx="283">
                  <c:v>0.62651228518614399</c:v>
                </c:pt>
                <c:pt idx="284">
                  <c:v>0.62651228518614399</c:v>
                </c:pt>
                <c:pt idx="285">
                  <c:v>0.62650138400459798</c:v>
                </c:pt>
                <c:pt idx="286">
                  <c:v>0.62651228518614399</c:v>
                </c:pt>
                <c:pt idx="287">
                  <c:v>0.626506834563756</c:v>
                </c:pt>
                <c:pt idx="288">
                  <c:v>0.62652318662014395</c:v>
                </c:pt>
                <c:pt idx="289">
                  <c:v>0.62650683456402201</c:v>
                </c:pt>
                <c:pt idx="290">
                  <c:v>0.62651228518588598</c:v>
                </c:pt>
                <c:pt idx="291">
                  <c:v>0.62652318661990103</c:v>
                </c:pt>
                <c:pt idx="292">
                  <c:v>0.62650683456402201</c:v>
                </c:pt>
                <c:pt idx="293">
                  <c:v>0.62651228518588598</c:v>
                </c:pt>
                <c:pt idx="294">
                  <c:v>0.62651228518614399</c:v>
                </c:pt>
                <c:pt idx="295">
                  <c:v>0.62651228518614399</c:v>
                </c:pt>
                <c:pt idx="296">
                  <c:v>0.62652318662014395</c:v>
                </c:pt>
                <c:pt idx="297">
                  <c:v>0.62649593350916299</c:v>
                </c:pt>
                <c:pt idx="298">
                  <c:v>0.62651228518614399</c:v>
                </c:pt>
                <c:pt idx="299">
                  <c:v>0.62650683456402201</c:v>
                </c:pt>
                <c:pt idx="300">
                  <c:v>0.59107538927199998</c:v>
                </c:pt>
                <c:pt idx="301">
                  <c:v>0.58600275058253704</c:v>
                </c:pt>
                <c:pt idx="302">
                  <c:v>0.58601705678777605</c:v>
                </c:pt>
                <c:pt idx="303">
                  <c:v>0.58601228800100902</c:v>
                </c:pt>
                <c:pt idx="304">
                  <c:v>0.58600275058227103</c:v>
                </c:pt>
                <c:pt idx="305">
                  <c:v>0.58601705678777605</c:v>
                </c:pt>
                <c:pt idx="306">
                  <c:v>0.58600275058227103</c:v>
                </c:pt>
                <c:pt idx="307">
                  <c:v>0.58600751926572303</c:v>
                </c:pt>
                <c:pt idx="308">
                  <c:v>0.58601228800100902</c:v>
                </c:pt>
                <c:pt idx="309">
                  <c:v>0.58599321337081201</c:v>
                </c:pt>
                <c:pt idx="310">
                  <c:v>0.58600751926572303</c:v>
                </c:pt>
                <c:pt idx="311">
                  <c:v>0.58600275058253704</c:v>
                </c:pt>
                <c:pt idx="312">
                  <c:v>0.58600751926572303</c:v>
                </c:pt>
                <c:pt idx="313">
                  <c:v>0.58600751926572303</c:v>
                </c:pt>
                <c:pt idx="314">
                  <c:v>0.586012288000759</c:v>
                </c:pt>
                <c:pt idx="315">
                  <c:v>0.58600751926572303</c:v>
                </c:pt>
                <c:pt idx="316">
                  <c:v>0.58600275058227103</c:v>
                </c:pt>
                <c:pt idx="317">
                  <c:v>0.58601228800100902</c:v>
                </c:pt>
                <c:pt idx="318">
                  <c:v>0.58600275058253704</c:v>
                </c:pt>
                <c:pt idx="319">
                  <c:v>0.58600751926572303</c:v>
                </c:pt>
                <c:pt idx="320">
                  <c:v>0.58600751926572303</c:v>
                </c:pt>
                <c:pt idx="321">
                  <c:v>0.58599321337081201</c:v>
                </c:pt>
                <c:pt idx="322">
                  <c:v>0.58600751926546502</c:v>
                </c:pt>
                <c:pt idx="323">
                  <c:v>0.58601228800100902</c:v>
                </c:pt>
                <c:pt idx="324">
                  <c:v>0.58600751926546502</c:v>
                </c:pt>
                <c:pt idx="325">
                  <c:v>0.58600751926598105</c:v>
                </c:pt>
                <c:pt idx="326">
                  <c:v>0.58600751926572303</c:v>
                </c:pt>
                <c:pt idx="327">
                  <c:v>0.58600751926572303</c:v>
                </c:pt>
                <c:pt idx="328">
                  <c:v>0.58600275058227103</c:v>
                </c:pt>
                <c:pt idx="329">
                  <c:v>0.58600751926598105</c:v>
                </c:pt>
                <c:pt idx="330">
                  <c:v>0.58600275058227103</c:v>
                </c:pt>
                <c:pt idx="331">
                  <c:v>0.58601705678753402</c:v>
                </c:pt>
                <c:pt idx="332">
                  <c:v>0.58600751926572303</c:v>
                </c:pt>
                <c:pt idx="333">
                  <c:v>0.58599798195077601</c:v>
                </c:pt>
                <c:pt idx="334">
                  <c:v>0.58601705678753402</c:v>
                </c:pt>
                <c:pt idx="335">
                  <c:v>0.58600275058253704</c:v>
                </c:pt>
                <c:pt idx="336">
                  <c:v>0.58600751926546502</c:v>
                </c:pt>
                <c:pt idx="337">
                  <c:v>0.58601228800100902</c:v>
                </c:pt>
                <c:pt idx="338">
                  <c:v>0.58600751926572303</c:v>
                </c:pt>
                <c:pt idx="339">
                  <c:v>0.58600751926572303</c:v>
                </c:pt>
                <c:pt idx="340">
                  <c:v>0.58600751926546502</c:v>
                </c:pt>
                <c:pt idx="341">
                  <c:v>0.58600751926572303</c:v>
                </c:pt>
                <c:pt idx="342">
                  <c:v>0.58600275058227103</c:v>
                </c:pt>
                <c:pt idx="343">
                  <c:v>0.58600751926572303</c:v>
                </c:pt>
                <c:pt idx="344">
                  <c:v>0.58600751926546502</c:v>
                </c:pt>
                <c:pt idx="345">
                  <c:v>0.58599321337081201</c:v>
                </c:pt>
                <c:pt idx="346">
                  <c:v>0.586012288000759</c:v>
                </c:pt>
                <c:pt idx="347">
                  <c:v>0.58600275058253704</c:v>
                </c:pt>
                <c:pt idx="348">
                  <c:v>0.58600751926546502</c:v>
                </c:pt>
                <c:pt idx="349">
                  <c:v>0.58601228800100902</c:v>
                </c:pt>
                <c:pt idx="350">
                  <c:v>0.58600751926572303</c:v>
                </c:pt>
                <c:pt idx="351">
                  <c:v>0.58602182562618399</c:v>
                </c:pt>
                <c:pt idx="352">
                  <c:v>0.58600275058253704</c:v>
                </c:pt>
                <c:pt idx="353">
                  <c:v>0.58600751926572303</c:v>
                </c:pt>
                <c:pt idx="354">
                  <c:v>0.58601228800100902</c:v>
                </c:pt>
                <c:pt idx="355">
                  <c:v>0.58600751926546502</c:v>
                </c:pt>
                <c:pt idx="356">
                  <c:v>0.58600751926572303</c:v>
                </c:pt>
                <c:pt idx="357">
                  <c:v>0.58599321337081201</c:v>
                </c:pt>
                <c:pt idx="358">
                  <c:v>0.58600751926572303</c:v>
                </c:pt>
                <c:pt idx="359">
                  <c:v>0.58600275058253704</c:v>
                </c:pt>
                <c:pt idx="360">
                  <c:v>0.395330843936473</c:v>
                </c:pt>
                <c:pt idx="361">
                  <c:v>0.38302353942878398</c:v>
                </c:pt>
                <c:pt idx="362">
                  <c:v>0.38302557681660798</c:v>
                </c:pt>
                <c:pt idx="363">
                  <c:v>0.38302965163654201</c:v>
                </c:pt>
                <c:pt idx="364">
                  <c:v>0.38302353942851702</c:v>
                </c:pt>
                <c:pt idx="365">
                  <c:v>0.38302557681660798</c:v>
                </c:pt>
                <c:pt idx="366">
                  <c:v>0.383025576816866</c:v>
                </c:pt>
                <c:pt idx="367">
                  <c:v>0.383025576816866</c:v>
                </c:pt>
                <c:pt idx="368">
                  <c:v>0.38302965163654201</c:v>
                </c:pt>
                <c:pt idx="369">
                  <c:v>0.38301946469562298</c:v>
                </c:pt>
                <c:pt idx="370">
                  <c:v>0.38302557681660798</c:v>
                </c:pt>
                <c:pt idx="371">
                  <c:v>0.38302353942851702</c:v>
                </c:pt>
                <c:pt idx="372">
                  <c:v>0.38302761421957199</c:v>
                </c:pt>
                <c:pt idx="373">
                  <c:v>0.38302353942851702</c:v>
                </c:pt>
                <c:pt idx="374">
                  <c:v>0.38302965163654201</c:v>
                </c:pt>
                <c:pt idx="375">
                  <c:v>0.38302761421932202</c:v>
                </c:pt>
                <c:pt idx="376">
                  <c:v>0.38302353942878398</c:v>
                </c:pt>
                <c:pt idx="377">
                  <c:v>0.38302965163654201</c:v>
                </c:pt>
                <c:pt idx="378">
                  <c:v>0.38302353942851702</c:v>
                </c:pt>
                <c:pt idx="379">
                  <c:v>0.383025576816866</c:v>
                </c:pt>
                <c:pt idx="380">
                  <c:v>0.38302761421932202</c:v>
                </c:pt>
                <c:pt idx="381">
                  <c:v>0.38302150205490998</c:v>
                </c:pt>
                <c:pt idx="382">
                  <c:v>0.383025576816866</c:v>
                </c:pt>
                <c:pt idx="383">
                  <c:v>0.38302761421932202</c:v>
                </c:pt>
                <c:pt idx="384">
                  <c:v>0.383025576816866</c:v>
                </c:pt>
                <c:pt idx="385">
                  <c:v>0.383025576816866</c:v>
                </c:pt>
                <c:pt idx="386">
                  <c:v>0.38302557681712401</c:v>
                </c:pt>
                <c:pt idx="387">
                  <c:v>0.38302557681660798</c:v>
                </c:pt>
                <c:pt idx="388">
                  <c:v>0.38302353942878398</c:v>
                </c:pt>
                <c:pt idx="389">
                  <c:v>0.383025576816866</c:v>
                </c:pt>
                <c:pt idx="390">
                  <c:v>0.38302353942878398</c:v>
                </c:pt>
                <c:pt idx="391">
                  <c:v>0.38302965163654201</c:v>
                </c:pt>
                <c:pt idx="392">
                  <c:v>0.383025576816866</c:v>
                </c:pt>
                <c:pt idx="393">
                  <c:v>0.38301946469562298</c:v>
                </c:pt>
                <c:pt idx="394">
                  <c:v>0.38302557681660798</c:v>
                </c:pt>
                <c:pt idx="395">
                  <c:v>0.383025576816866</c:v>
                </c:pt>
                <c:pt idx="396">
                  <c:v>0.38302557681660798</c:v>
                </c:pt>
                <c:pt idx="397">
                  <c:v>0.38302965163629998</c:v>
                </c:pt>
                <c:pt idx="398">
                  <c:v>0.383025576816866</c:v>
                </c:pt>
                <c:pt idx="399">
                  <c:v>0.38302557681660798</c:v>
                </c:pt>
                <c:pt idx="400">
                  <c:v>0.38302761421932202</c:v>
                </c:pt>
                <c:pt idx="401">
                  <c:v>0.38302557681712401</c:v>
                </c:pt>
                <c:pt idx="402">
                  <c:v>0.38302353942851702</c:v>
                </c:pt>
                <c:pt idx="403">
                  <c:v>0.38302761421957199</c:v>
                </c:pt>
                <c:pt idx="404">
                  <c:v>0.383025576816866</c:v>
                </c:pt>
                <c:pt idx="405">
                  <c:v>0.38301946469533799</c:v>
                </c:pt>
                <c:pt idx="406">
                  <c:v>0.38302965163654201</c:v>
                </c:pt>
                <c:pt idx="407">
                  <c:v>0.38302353942878398</c:v>
                </c:pt>
                <c:pt idx="408">
                  <c:v>0.383025576816866</c:v>
                </c:pt>
                <c:pt idx="409">
                  <c:v>0.38302761421957199</c:v>
                </c:pt>
                <c:pt idx="410">
                  <c:v>0.38302557681660798</c:v>
                </c:pt>
                <c:pt idx="411">
                  <c:v>0.383025576816866</c:v>
                </c:pt>
                <c:pt idx="412">
                  <c:v>0.38302557681660798</c:v>
                </c:pt>
                <c:pt idx="413">
                  <c:v>0.38302557681660798</c:v>
                </c:pt>
                <c:pt idx="414">
                  <c:v>0.38302353942878398</c:v>
                </c:pt>
                <c:pt idx="415">
                  <c:v>0.38302557681660798</c:v>
                </c:pt>
                <c:pt idx="416">
                  <c:v>0.383025576816866</c:v>
                </c:pt>
                <c:pt idx="417">
                  <c:v>0.38301946469562298</c:v>
                </c:pt>
                <c:pt idx="418">
                  <c:v>0.38302761421957199</c:v>
                </c:pt>
                <c:pt idx="419">
                  <c:v>0.38302353942851702</c:v>
                </c:pt>
                <c:pt idx="420">
                  <c:v>0.383025576816866</c:v>
                </c:pt>
                <c:pt idx="421">
                  <c:v>0.38302761421957199</c:v>
                </c:pt>
                <c:pt idx="422">
                  <c:v>0.383025576816866</c:v>
                </c:pt>
                <c:pt idx="423">
                  <c:v>0.38303168906792801</c:v>
                </c:pt>
                <c:pt idx="424">
                  <c:v>0.38302353942851702</c:v>
                </c:pt>
                <c:pt idx="425">
                  <c:v>0.383025576816866</c:v>
                </c:pt>
                <c:pt idx="426">
                  <c:v>0.38302761421957199</c:v>
                </c:pt>
                <c:pt idx="427">
                  <c:v>0.383025576816866</c:v>
                </c:pt>
                <c:pt idx="428">
                  <c:v>0.383025576816866</c:v>
                </c:pt>
                <c:pt idx="429">
                  <c:v>0.38302557681660798</c:v>
                </c:pt>
                <c:pt idx="430">
                  <c:v>0.383025576816866</c:v>
                </c:pt>
                <c:pt idx="431">
                  <c:v>0.38302353942878398</c:v>
                </c:pt>
                <c:pt idx="432">
                  <c:v>0.38302761421932202</c:v>
                </c:pt>
                <c:pt idx="433">
                  <c:v>0.38302353942878398</c:v>
                </c:pt>
                <c:pt idx="434">
                  <c:v>0.38302965163629998</c:v>
                </c:pt>
                <c:pt idx="435">
                  <c:v>0.38302761421932202</c:v>
                </c:pt>
                <c:pt idx="436">
                  <c:v>0.38302353942878398</c:v>
                </c:pt>
                <c:pt idx="437">
                  <c:v>0.38302965163629998</c:v>
                </c:pt>
                <c:pt idx="438">
                  <c:v>0.38302353942904999</c:v>
                </c:pt>
                <c:pt idx="439">
                  <c:v>0.383025576816866</c:v>
                </c:pt>
                <c:pt idx="440">
                  <c:v>0.38302761421932202</c:v>
                </c:pt>
                <c:pt idx="441">
                  <c:v>0.38301946469533799</c:v>
                </c:pt>
                <c:pt idx="442">
                  <c:v>0.383025576816866</c:v>
                </c:pt>
                <c:pt idx="443">
                  <c:v>0.38302353942878398</c:v>
                </c:pt>
                <c:pt idx="444">
                  <c:v>0.383025576816866</c:v>
                </c:pt>
                <c:pt idx="445">
                  <c:v>0.38302557681660798</c:v>
                </c:pt>
                <c:pt idx="446">
                  <c:v>0.38302761421957199</c:v>
                </c:pt>
                <c:pt idx="447">
                  <c:v>0.383025576816866</c:v>
                </c:pt>
                <c:pt idx="448">
                  <c:v>0.38302353942878398</c:v>
                </c:pt>
                <c:pt idx="449">
                  <c:v>0.38302761421932202</c:v>
                </c:pt>
                <c:pt idx="450">
                  <c:v>0.38302353942878398</c:v>
                </c:pt>
                <c:pt idx="451">
                  <c:v>0.383025576816866</c:v>
                </c:pt>
                <c:pt idx="452">
                  <c:v>0.383025576816866</c:v>
                </c:pt>
                <c:pt idx="453">
                  <c:v>0.38301946469562298</c:v>
                </c:pt>
                <c:pt idx="454">
                  <c:v>0.383025576816866</c:v>
                </c:pt>
                <c:pt idx="455">
                  <c:v>0.38302761421932202</c:v>
                </c:pt>
                <c:pt idx="456">
                  <c:v>0.38302557681712401</c:v>
                </c:pt>
                <c:pt idx="457">
                  <c:v>0.383025576816866</c:v>
                </c:pt>
                <c:pt idx="458">
                  <c:v>0.383025576816866</c:v>
                </c:pt>
                <c:pt idx="459">
                  <c:v>0.383025576816866</c:v>
                </c:pt>
                <c:pt idx="460">
                  <c:v>0.38302353942878398</c:v>
                </c:pt>
                <c:pt idx="461">
                  <c:v>0.383025576816866</c:v>
                </c:pt>
                <c:pt idx="462">
                  <c:v>0.38302353942878398</c:v>
                </c:pt>
                <c:pt idx="463">
                  <c:v>0.38302965163654201</c:v>
                </c:pt>
                <c:pt idx="464">
                  <c:v>0.383025576816866</c:v>
                </c:pt>
                <c:pt idx="465">
                  <c:v>0.38301946469590897</c:v>
                </c:pt>
                <c:pt idx="466">
                  <c:v>0.383025576816866</c:v>
                </c:pt>
                <c:pt idx="467">
                  <c:v>0.383025576816866</c:v>
                </c:pt>
                <c:pt idx="468">
                  <c:v>0.38302557681660798</c:v>
                </c:pt>
                <c:pt idx="469">
                  <c:v>0.38302965163605801</c:v>
                </c:pt>
                <c:pt idx="470">
                  <c:v>0.38302557681712401</c:v>
                </c:pt>
                <c:pt idx="471">
                  <c:v>0.383025576816866</c:v>
                </c:pt>
                <c:pt idx="472">
                  <c:v>0.38302761421932202</c:v>
                </c:pt>
                <c:pt idx="473">
                  <c:v>0.383025576816866</c:v>
                </c:pt>
                <c:pt idx="474">
                  <c:v>0.38302353942851702</c:v>
                </c:pt>
                <c:pt idx="475">
                  <c:v>0.38302761421957199</c:v>
                </c:pt>
                <c:pt idx="476">
                  <c:v>0.38302557681660798</c:v>
                </c:pt>
                <c:pt idx="477">
                  <c:v>0.38302150205490998</c:v>
                </c:pt>
                <c:pt idx="478">
                  <c:v>0.38302761421957199</c:v>
                </c:pt>
                <c:pt idx="479">
                  <c:v>0.38302353942878398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Benchmarking!$C$1</c:f>
              <c:strCache>
                <c:ptCount val="1"/>
                <c:pt idx="0">
                  <c:v>Excel Replica</c:v>
                </c:pt>
              </c:strCache>
            </c:strRef>
          </c:tx>
          <c:marker>
            <c:symbol val="none"/>
          </c:marker>
          <c:cat>
            <c:numRef>
              <c:f>Benchmarking!$A$2:$A$481</c:f>
              <c:numCache>
                <c:formatCode>m/d/yyyy</c:formatCode>
                <c:ptCount val="480"/>
                <c:pt idx="0">
                  <c:v>43955</c:v>
                </c:pt>
                <c:pt idx="1">
                  <c:v>43988</c:v>
                </c:pt>
                <c:pt idx="2">
                  <c:v>44016</c:v>
                </c:pt>
                <c:pt idx="3">
                  <c:v>44047</c:v>
                </c:pt>
                <c:pt idx="4">
                  <c:v>44079</c:v>
                </c:pt>
                <c:pt idx="5">
                  <c:v>44108</c:v>
                </c:pt>
                <c:pt idx="6">
                  <c:v>44139</c:v>
                </c:pt>
                <c:pt idx="7">
                  <c:v>44169</c:v>
                </c:pt>
                <c:pt idx="8">
                  <c:v>44200</c:v>
                </c:pt>
                <c:pt idx="9">
                  <c:v>44231</c:v>
                </c:pt>
                <c:pt idx="10">
                  <c:v>44260</c:v>
                </c:pt>
                <c:pt idx="11">
                  <c:v>44290</c:v>
                </c:pt>
                <c:pt idx="12">
                  <c:v>44320</c:v>
                </c:pt>
                <c:pt idx="13">
                  <c:v>44353</c:v>
                </c:pt>
                <c:pt idx="14">
                  <c:v>44381</c:v>
                </c:pt>
                <c:pt idx="15">
                  <c:v>44415</c:v>
                </c:pt>
                <c:pt idx="16">
                  <c:v>44443</c:v>
                </c:pt>
                <c:pt idx="17">
                  <c:v>44473</c:v>
                </c:pt>
                <c:pt idx="18">
                  <c:v>44506</c:v>
                </c:pt>
                <c:pt idx="19">
                  <c:v>44534</c:v>
                </c:pt>
                <c:pt idx="20">
                  <c:v>44565</c:v>
                </c:pt>
                <c:pt idx="21">
                  <c:v>44596</c:v>
                </c:pt>
                <c:pt idx="22">
                  <c:v>44624</c:v>
                </c:pt>
                <c:pt idx="23">
                  <c:v>44655</c:v>
                </c:pt>
                <c:pt idx="24">
                  <c:v>44687</c:v>
                </c:pt>
                <c:pt idx="25">
                  <c:v>44717</c:v>
                </c:pt>
                <c:pt idx="26">
                  <c:v>44746</c:v>
                </c:pt>
                <c:pt idx="27">
                  <c:v>44779</c:v>
                </c:pt>
                <c:pt idx="28">
                  <c:v>44808</c:v>
                </c:pt>
                <c:pt idx="29">
                  <c:v>44838</c:v>
                </c:pt>
                <c:pt idx="30">
                  <c:v>44870</c:v>
                </c:pt>
                <c:pt idx="31">
                  <c:v>44899</c:v>
                </c:pt>
                <c:pt idx="32">
                  <c:v>44932</c:v>
                </c:pt>
                <c:pt idx="33">
                  <c:v>44963</c:v>
                </c:pt>
                <c:pt idx="34">
                  <c:v>44989</c:v>
                </c:pt>
                <c:pt idx="35">
                  <c:v>45020</c:v>
                </c:pt>
                <c:pt idx="36">
                  <c:v>45051</c:v>
                </c:pt>
                <c:pt idx="37">
                  <c:v>45082</c:v>
                </c:pt>
                <c:pt idx="38">
                  <c:v>45111</c:v>
                </c:pt>
                <c:pt idx="39">
                  <c:v>45143</c:v>
                </c:pt>
                <c:pt idx="40">
                  <c:v>45173</c:v>
                </c:pt>
                <c:pt idx="41">
                  <c:v>45205</c:v>
                </c:pt>
                <c:pt idx="42">
                  <c:v>45234</c:v>
                </c:pt>
                <c:pt idx="43">
                  <c:v>45264</c:v>
                </c:pt>
                <c:pt idx="44">
                  <c:v>45296</c:v>
                </c:pt>
                <c:pt idx="45">
                  <c:v>45326</c:v>
                </c:pt>
                <c:pt idx="46">
                  <c:v>45355</c:v>
                </c:pt>
                <c:pt idx="47">
                  <c:v>45388</c:v>
                </c:pt>
                <c:pt idx="48">
                  <c:v>45416</c:v>
                </c:pt>
                <c:pt idx="49">
                  <c:v>45448</c:v>
                </c:pt>
                <c:pt idx="50">
                  <c:v>45478</c:v>
                </c:pt>
                <c:pt idx="51">
                  <c:v>45508</c:v>
                </c:pt>
                <c:pt idx="52">
                  <c:v>45539</c:v>
                </c:pt>
                <c:pt idx="53">
                  <c:v>45569</c:v>
                </c:pt>
                <c:pt idx="54">
                  <c:v>45600</c:v>
                </c:pt>
                <c:pt idx="55">
                  <c:v>45632</c:v>
                </c:pt>
                <c:pt idx="56">
                  <c:v>45661</c:v>
                </c:pt>
                <c:pt idx="57">
                  <c:v>45692</c:v>
                </c:pt>
                <c:pt idx="58">
                  <c:v>45720</c:v>
                </c:pt>
                <c:pt idx="59">
                  <c:v>45752</c:v>
                </c:pt>
                <c:pt idx="60">
                  <c:v>45781</c:v>
                </c:pt>
                <c:pt idx="61">
                  <c:v>45815</c:v>
                </c:pt>
                <c:pt idx="62">
                  <c:v>45842</c:v>
                </c:pt>
                <c:pt idx="63">
                  <c:v>45873</c:v>
                </c:pt>
                <c:pt idx="64">
                  <c:v>45906</c:v>
                </c:pt>
                <c:pt idx="65">
                  <c:v>45934</c:v>
                </c:pt>
                <c:pt idx="66">
                  <c:v>45965</c:v>
                </c:pt>
                <c:pt idx="67">
                  <c:v>45996</c:v>
                </c:pt>
                <c:pt idx="68">
                  <c:v>46026</c:v>
                </c:pt>
                <c:pt idx="69">
                  <c:v>46057</c:v>
                </c:pt>
                <c:pt idx="70">
                  <c:v>46087</c:v>
                </c:pt>
                <c:pt idx="71">
                  <c:v>46116</c:v>
                </c:pt>
                <c:pt idx="72">
                  <c:v>46146</c:v>
                </c:pt>
                <c:pt idx="73">
                  <c:v>46179</c:v>
                </c:pt>
                <c:pt idx="74">
                  <c:v>46207</c:v>
                </c:pt>
                <c:pt idx="75">
                  <c:v>46238</c:v>
                </c:pt>
                <c:pt idx="76">
                  <c:v>46270</c:v>
                </c:pt>
                <c:pt idx="77">
                  <c:v>46299</c:v>
                </c:pt>
                <c:pt idx="78">
                  <c:v>46330</c:v>
                </c:pt>
                <c:pt idx="79">
                  <c:v>46360</c:v>
                </c:pt>
                <c:pt idx="80">
                  <c:v>46391</c:v>
                </c:pt>
                <c:pt idx="81">
                  <c:v>46422</c:v>
                </c:pt>
                <c:pt idx="82">
                  <c:v>46451</c:v>
                </c:pt>
                <c:pt idx="83">
                  <c:v>46481</c:v>
                </c:pt>
                <c:pt idx="84">
                  <c:v>46511</c:v>
                </c:pt>
                <c:pt idx="85">
                  <c:v>46544</c:v>
                </c:pt>
                <c:pt idx="86">
                  <c:v>46572</c:v>
                </c:pt>
                <c:pt idx="87">
                  <c:v>46606</c:v>
                </c:pt>
                <c:pt idx="88">
                  <c:v>46634</c:v>
                </c:pt>
                <c:pt idx="89">
                  <c:v>46664</c:v>
                </c:pt>
                <c:pt idx="90">
                  <c:v>46697</c:v>
                </c:pt>
                <c:pt idx="91">
                  <c:v>46725</c:v>
                </c:pt>
                <c:pt idx="92">
                  <c:v>46756</c:v>
                </c:pt>
                <c:pt idx="93">
                  <c:v>46789</c:v>
                </c:pt>
                <c:pt idx="94">
                  <c:v>46816</c:v>
                </c:pt>
                <c:pt idx="95">
                  <c:v>46847</c:v>
                </c:pt>
                <c:pt idx="96">
                  <c:v>46878</c:v>
                </c:pt>
                <c:pt idx="97">
                  <c:v>46909</c:v>
                </c:pt>
                <c:pt idx="98">
                  <c:v>46938</c:v>
                </c:pt>
                <c:pt idx="99">
                  <c:v>46970</c:v>
                </c:pt>
                <c:pt idx="100">
                  <c:v>47000</c:v>
                </c:pt>
                <c:pt idx="101">
                  <c:v>47032</c:v>
                </c:pt>
                <c:pt idx="102">
                  <c:v>47061</c:v>
                </c:pt>
                <c:pt idx="103">
                  <c:v>47091</c:v>
                </c:pt>
                <c:pt idx="104">
                  <c:v>47123</c:v>
                </c:pt>
                <c:pt idx="105">
                  <c:v>47154</c:v>
                </c:pt>
                <c:pt idx="106">
                  <c:v>47181</c:v>
                </c:pt>
                <c:pt idx="107">
                  <c:v>47212</c:v>
                </c:pt>
                <c:pt idx="108">
                  <c:v>47242</c:v>
                </c:pt>
                <c:pt idx="109">
                  <c:v>47274</c:v>
                </c:pt>
                <c:pt idx="110">
                  <c:v>47305</c:v>
                </c:pt>
                <c:pt idx="111">
                  <c:v>47334</c:v>
                </c:pt>
                <c:pt idx="112">
                  <c:v>47365</c:v>
                </c:pt>
                <c:pt idx="113">
                  <c:v>47396</c:v>
                </c:pt>
                <c:pt idx="114">
                  <c:v>47426</c:v>
                </c:pt>
                <c:pt idx="115">
                  <c:v>47456</c:v>
                </c:pt>
                <c:pt idx="116">
                  <c:v>47487</c:v>
                </c:pt>
                <c:pt idx="117">
                  <c:v>47518</c:v>
                </c:pt>
                <c:pt idx="118">
                  <c:v>47546</c:v>
                </c:pt>
                <c:pt idx="119">
                  <c:v>47579</c:v>
                </c:pt>
                <c:pt idx="120">
                  <c:v>47607</c:v>
                </c:pt>
                <c:pt idx="121">
                  <c:v>47639</c:v>
                </c:pt>
                <c:pt idx="122">
                  <c:v>47669</c:v>
                </c:pt>
                <c:pt idx="123">
                  <c:v>47699</c:v>
                </c:pt>
                <c:pt idx="124">
                  <c:v>47730</c:v>
                </c:pt>
                <c:pt idx="125">
                  <c:v>47760</c:v>
                </c:pt>
                <c:pt idx="126">
                  <c:v>47791</c:v>
                </c:pt>
                <c:pt idx="127">
                  <c:v>47823</c:v>
                </c:pt>
                <c:pt idx="128">
                  <c:v>47852</c:v>
                </c:pt>
                <c:pt idx="129">
                  <c:v>47883</c:v>
                </c:pt>
                <c:pt idx="130">
                  <c:v>47911</c:v>
                </c:pt>
                <c:pt idx="131">
                  <c:v>47943</c:v>
                </c:pt>
                <c:pt idx="132">
                  <c:v>47972</c:v>
                </c:pt>
                <c:pt idx="133">
                  <c:v>48006</c:v>
                </c:pt>
                <c:pt idx="134">
                  <c:v>48033</c:v>
                </c:pt>
                <c:pt idx="135">
                  <c:v>48064</c:v>
                </c:pt>
                <c:pt idx="136">
                  <c:v>48097</c:v>
                </c:pt>
                <c:pt idx="137">
                  <c:v>48125</c:v>
                </c:pt>
                <c:pt idx="138">
                  <c:v>48156</c:v>
                </c:pt>
                <c:pt idx="139">
                  <c:v>48187</c:v>
                </c:pt>
                <c:pt idx="140">
                  <c:v>48217</c:v>
                </c:pt>
                <c:pt idx="141">
                  <c:v>48248</c:v>
                </c:pt>
                <c:pt idx="142">
                  <c:v>48278</c:v>
                </c:pt>
                <c:pt idx="143">
                  <c:v>48308</c:v>
                </c:pt>
                <c:pt idx="144">
                  <c:v>48338</c:v>
                </c:pt>
                <c:pt idx="145">
                  <c:v>48371</c:v>
                </c:pt>
                <c:pt idx="146">
                  <c:v>48399</c:v>
                </c:pt>
                <c:pt idx="147">
                  <c:v>48433</c:v>
                </c:pt>
                <c:pt idx="148">
                  <c:v>48461</c:v>
                </c:pt>
                <c:pt idx="149">
                  <c:v>48491</c:v>
                </c:pt>
                <c:pt idx="150">
                  <c:v>48524</c:v>
                </c:pt>
                <c:pt idx="151">
                  <c:v>48552</c:v>
                </c:pt>
                <c:pt idx="152">
                  <c:v>48583</c:v>
                </c:pt>
                <c:pt idx="153">
                  <c:v>48614</c:v>
                </c:pt>
                <c:pt idx="154">
                  <c:v>48642</c:v>
                </c:pt>
                <c:pt idx="155">
                  <c:v>48673</c:v>
                </c:pt>
                <c:pt idx="156">
                  <c:v>48705</c:v>
                </c:pt>
                <c:pt idx="157">
                  <c:v>48735</c:v>
                </c:pt>
                <c:pt idx="158">
                  <c:v>48764</c:v>
                </c:pt>
                <c:pt idx="159">
                  <c:v>48797</c:v>
                </c:pt>
                <c:pt idx="160">
                  <c:v>48826</c:v>
                </c:pt>
                <c:pt idx="161">
                  <c:v>48856</c:v>
                </c:pt>
                <c:pt idx="162">
                  <c:v>48888</c:v>
                </c:pt>
                <c:pt idx="163">
                  <c:v>48917</c:v>
                </c:pt>
                <c:pt idx="164">
                  <c:v>48950</c:v>
                </c:pt>
                <c:pt idx="165">
                  <c:v>48981</c:v>
                </c:pt>
                <c:pt idx="166">
                  <c:v>49007</c:v>
                </c:pt>
                <c:pt idx="167">
                  <c:v>49038</c:v>
                </c:pt>
                <c:pt idx="168">
                  <c:v>49069</c:v>
                </c:pt>
                <c:pt idx="169">
                  <c:v>49100</c:v>
                </c:pt>
                <c:pt idx="170">
                  <c:v>49129</c:v>
                </c:pt>
                <c:pt idx="171">
                  <c:v>49161</c:v>
                </c:pt>
                <c:pt idx="172">
                  <c:v>49191</c:v>
                </c:pt>
                <c:pt idx="173">
                  <c:v>49223</c:v>
                </c:pt>
                <c:pt idx="174">
                  <c:v>49252</c:v>
                </c:pt>
                <c:pt idx="175">
                  <c:v>49282</c:v>
                </c:pt>
                <c:pt idx="176">
                  <c:v>49314</c:v>
                </c:pt>
                <c:pt idx="177">
                  <c:v>49345</c:v>
                </c:pt>
                <c:pt idx="178">
                  <c:v>49372</c:v>
                </c:pt>
                <c:pt idx="179">
                  <c:v>49403</c:v>
                </c:pt>
                <c:pt idx="180">
                  <c:v>49433</c:v>
                </c:pt>
                <c:pt idx="181">
                  <c:v>49465</c:v>
                </c:pt>
                <c:pt idx="182">
                  <c:v>49496</c:v>
                </c:pt>
                <c:pt idx="183">
                  <c:v>49525</c:v>
                </c:pt>
                <c:pt idx="184">
                  <c:v>49556</c:v>
                </c:pt>
                <c:pt idx="185">
                  <c:v>49587</c:v>
                </c:pt>
                <c:pt idx="186">
                  <c:v>49617</c:v>
                </c:pt>
                <c:pt idx="187">
                  <c:v>49647</c:v>
                </c:pt>
                <c:pt idx="188">
                  <c:v>49678</c:v>
                </c:pt>
                <c:pt idx="189">
                  <c:v>49709</c:v>
                </c:pt>
                <c:pt idx="190">
                  <c:v>49738</c:v>
                </c:pt>
                <c:pt idx="191">
                  <c:v>49770</c:v>
                </c:pt>
                <c:pt idx="192">
                  <c:v>49799</c:v>
                </c:pt>
                <c:pt idx="193">
                  <c:v>49833</c:v>
                </c:pt>
                <c:pt idx="194">
                  <c:v>49860</c:v>
                </c:pt>
                <c:pt idx="195">
                  <c:v>49891</c:v>
                </c:pt>
                <c:pt idx="196">
                  <c:v>49924</c:v>
                </c:pt>
                <c:pt idx="197">
                  <c:v>49952</c:v>
                </c:pt>
                <c:pt idx="198">
                  <c:v>49983</c:v>
                </c:pt>
                <c:pt idx="199">
                  <c:v>50014</c:v>
                </c:pt>
                <c:pt idx="200">
                  <c:v>50044</c:v>
                </c:pt>
                <c:pt idx="201">
                  <c:v>50075</c:v>
                </c:pt>
                <c:pt idx="202">
                  <c:v>50105</c:v>
                </c:pt>
                <c:pt idx="203">
                  <c:v>50134</c:v>
                </c:pt>
                <c:pt idx="204">
                  <c:v>50164</c:v>
                </c:pt>
                <c:pt idx="205">
                  <c:v>50197</c:v>
                </c:pt>
                <c:pt idx="206">
                  <c:v>50225</c:v>
                </c:pt>
                <c:pt idx="207">
                  <c:v>50256</c:v>
                </c:pt>
                <c:pt idx="208">
                  <c:v>50288</c:v>
                </c:pt>
                <c:pt idx="209">
                  <c:v>50317</c:v>
                </c:pt>
                <c:pt idx="210">
                  <c:v>50348</c:v>
                </c:pt>
                <c:pt idx="211">
                  <c:v>50378</c:v>
                </c:pt>
                <c:pt idx="212">
                  <c:v>50409</c:v>
                </c:pt>
                <c:pt idx="213">
                  <c:v>50440</c:v>
                </c:pt>
                <c:pt idx="214">
                  <c:v>50469</c:v>
                </c:pt>
                <c:pt idx="215">
                  <c:v>50499</c:v>
                </c:pt>
                <c:pt idx="216">
                  <c:v>50529</c:v>
                </c:pt>
                <c:pt idx="217">
                  <c:v>50562</c:v>
                </c:pt>
                <c:pt idx="218">
                  <c:v>50590</c:v>
                </c:pt>
                <c:pt idx="219">
                  <c:v>50624</c:v>
                </c:pt>
                <c:pt idx="220">
                  <c:v>50652</c:v>
                </c:pt>
                <c:pt idx="221">
                  <c:v>50682</c:v>
                </c:pt>
                <c:pt idx="222">
                  <c:v>50715</c:v>
                </c:pt>
                <c:pt idx="223">
                  <c:v>50743</c:v>
                </c:pt>
                <c:pt idx="224">
                  <c:v>50774</c:v>
                </c:pt>
                <c:pt idx="225">
                  <c:v>50805</c:v>
                </c:pt>
                <c:pt idx="226">
                  <c:v>50833</c:v>
                </c:pt>
                <c:pt idx="227">
                  <c:v>50864</c:v>
                </c:pt>
                <c:pt idx="228">
                  <c:v>50896</c:v>
                </c:pt>
                <c:pt idx="229">
                  <c:v>50926</c:v>
                </c:pt>
                <c:pt idx="230">
                  <c:v>50955</c:v>
                </c:pt>
                <c:pt idx="231">
                  <c:v>50988</c:v>
                </c:pt>
                <c:pt idx="232">
                  <c:v>51017</c:v>
                </c:pt>
                <c:pt idx="233">
                  <c:v>51047</c:v>
                </c:pt>
                <c:pt idx="234">
                  <c:v>51079</c:v>
                </c:pt>
                <c:pt idx="235">
                  <c:v>51108</c:v>
                </c:pt>
                <c:pt idx="236">
                  <c:v>51141</c:v>
                </c:pt>
                <c:pt idx="237">
                  <c:v>51171</c:v>
                </c:pt>
                <c:pt idx="238">
                  <c:v>51199</c:v>
                </c:pt>
                <c:pt idx="239">
                  <c:v>51230</c:v>
                </c:pt>
                <c:pt idx="240">
                  <c:v>51260</c:v>
                </c:pt>
                <c:pt idx="241">
                  <c:v>51292</c:v>
                </c:pt>
                <c:pt idx="242">
                  <c:v>51323</c:v>
                </c:pt>
                <c:pt idx="243">
                  <c:v>51352</c:v>
                </c:pt>
                <c:pt idx="244">
                  <c:v>51383</c:v>
                </c:pt>
                <c:pt idx="245">
                  <c:v>51414</c:v>
                </c:pt>
                <c:pt idx="246">
                  <c:v>51444</c:v>
                </c:pt>
                <c:pt idx="247">
                  <c:v>51474</c:v>
                </c:pt>
                <c:pt idx="248">
                  <c:v>51505</c:v>
                </c:pt>
                <c:pt idx="249">
                  <c:v>51536</c:v>
                </c:pt>
                <c:pt idx="250">
                  <c:v>51564</c:v>
                </c:pt>
                <c:pt idx="251">
                  <c:v>51597</c:v>
                </c:pt>
                <c:pt idx="252">
                  <c:v>51625</c:v>
                </c:pt>
                <c:pt idx="253">
                  <c:v>51657</c:v>
                </c:pt>
                <c:pt idx="254">
                  <c:v>51687</c:v>
                </c:pt>
                <c:pt idx="255">
                  <c:v>51717</c:v>
                </c:pt>
                <c:pt idx="256">
                  <c:v>51748</c:v>
                </c:pt>
                <c:pt idx="257">
                  <c:v>51778</c:v>
                </c:pt>
                <c:pt idx="258">
                  <c:v>51809</c:v>
                </c:pt>
                <c:pt idx="259">
                  <c:v>51841</c:v>
                </c:pt>
                <c:pt idx="260">
                  <c:v>51870</c:v>
                </c:pt>
                <c:pt idx="261">
                  <c:v>51901</c:v>
                </c:pt>
                <c:pt idx="262">
                  <c:v>51929</c:v>
                </c:pt>
                <c:pt idx="263">
                  <c:v>51961</c:v>
                </c:pt>
                <c:pt idx="264">
                  <c:v>51990</c:v>
                </c:pt>
                <c:pt idx="265">
                  <c:v>52024</c:v>
                </c:pt>
                <c:pt idx="266">
                  <c:v>52051</c:v>
                </c:pt>
                <c:pt idx="267">
                  <c:v>52082</c:v>
                </c:pt>
                <c:pt idx="268">
                  <c:v>52115</c:v>
                </c:pt>
                <c:pt idx="269">
                  <c:v>52143</c:v>
                </c:pt>
                <c:pt idx="270">
                  <c:v>52174</c:v>
                </c:pt>
                <c:pt idx="271">
                  <c:v>52205</c:v>
                </c:pt>
                <c:pt idx="272">
                  <c:v>52235</c:v>
                </c:pt>
                <c:pt idx="273">
                  <c:v>52266</c:v>
                </c:pt>
                <c:pt idx="274">
                  <c:v>52296</c:v>
                </c:pt>
                <c:pt idx="275">
                  <c:v>52325</c:v>
                </c:pt>
                <c:pt idx="276">
                  <c:v>52355</c:v>
                </c:pt>
                <c:pt idx="277">
                  <c:v>52388</c:v>
                </c:pt>
                <c:pt idx="278">
                  <c:v>52416</c:v>
                </c:pt>
                <c:pt idx="279">
                  <c:v>52447</c:v>
                </c:pt>
                <c:pt idx="280">
                  <c:v>52479</c:v>
                </c:pt>
                <c:pt idx="281">
                  <c:v>52508</c:v>
                </c:pt>
                <c:pt idx="282">
                  <c:v>52539</c:v>
                </c:pt>
                <c:pt idx="283">
                  <c:v>52569</c:v>
                </c:pt>
                <c:pt idx="284">
                  <c:v>52600</c:v>
                </c:pt>
                <c:pt idx="285">
                  <c:v>52631</c:v>
                </c:pt>
                <c:pt idx="286">
                  <c:v>52660</c:v>
                </c:pt>
                <c:pt idx="287">
                  <c:v>52691</c:v>
                </c:pt>
                <c:pt idx="288">
                  <c:v>52723</c:v>
                </c:pt>
                <c:pt idx="289">
                  <c:v>52753</c:v>
                </c:pt>
                <c:pt idx="290">
                  <c:v>52782</c:v>
                </c:pt>
                <c:pt idx="291">
                  <c:v>52815</c:v>
                </c:pt>
                <c:pt idx="292">
                  <c:v>52844</c:v>
                </c:pt>
                <c:pt idx="293">
                  <c:v>52874</c:v>
                </c:pt>
                <c:pt idx="294">
                  <c:v>52906</c:v>
                </c:pt>
                <c:pt idx="295">
                  <c:v>52935</c:v>
                </c:pt>
                <c:pt idx="296">
                  <c:v>52968</c:v>
                </c:pt>
                <c:pt idx="297">
                  <c:v>52999</c:v>
                </c:pt>
                <c:pt idx="298">
                  <c:v>53025</c:v>
                </c:pt>
                <c:pt idx="299">
                  <c:v>53056</c:v>
                </c:pt>
                <c:pt idx="300">
                  <c:v>53087</c:v>
                </c:pt>
                <c:pt idx="301">
                  <c:v>53118</c:v>
                </c:pt>
                <c:pt idx="302">
                  <c:v>53147</c:v>
                </c:pt>
                <c:pt idx="303">
                  <c:v>53179</c:v>
                </c:pt>
                <c:pt idx="304">
                  <c:v>53209</c:v>
                </c:pt>
                <c:pt idx="305">
                  <c:v>53241</c:v>
                </c:pt>
                <c:pt idx="306">
                  <c:v>53270</c:v>
                </c:pt>
                <c:pt idx="307">
                  <c:v>53300</c:v>
                </c:pt>
                <c:pt idx="308">
                  <c:v>53332</c:v>
                </c:pt>
                <c:pt idx="309">
                  <c:v>53363</c:v>
                </c:pt>
                <c:pt idx="310">
                  <c:v>53390</c:v>
                </c:pt>
                <c:pt idx="311">
                  <c:v>53421</c:v>
                </c:pt>
                <c:pt idx="312">
                  <c:v>53451</c:v>
                </c:pt>
                <c:pt idx="313">
                  <c:v>53483</c:v>
                </c:pt>
                <c:pt idx="314">
                  <c:v>53514</c:v>
                </c:pt>
                <c:pt idx="315">
                  <c:v>53543</c:v>
                </c:pt>
                <c:pt idx="316">
                  <c:v>53574</c:v>
                </c:pt>
                <c:pt idx="317">
                  <c:v>53605</c:v>
                </c:pt>
                <c:pt idx="318">
                  <c:v>53635</c:v>
                </c:pt>
                <c:pt idx="319">
                  <c:v>53665</c:v>
                </c:pt>
                <c:pt idx="320">
                  <c:v>53696</c:v>
                </c:pt>
                <c:pt idx="321">
                  <c:v>53727</c:v>
                </c:pt>
                <c:pt idx="322">
                  <c:v>53755</c:v>
                </c:pt>
                <c:pt idx="323">
                  <c:v>53788</c:v>
                </c:pt>
                <c:pt idx="324">
                  <c:v>53816</c:v>
                </c:pt>
                <c:pt idx="325">
                  <c:v>53848</c:v>
                </c:pt>
                <c:pt idx="326">
                  <c:v>53878</c:v>
                </c:pt>
                <c:pt idx="327">
                  <c:v>53908</c:v>
                </c:pt>
                <c:pt idx="328">
                  <c:v>53939</c:v>
                </c:pt>
                <c:pt idx="329">
                  <c:v>53969</c:v>
                </c:pt>
                <c:pt idx="330">
                  <c:v>54000</c:v>
                </c:pt>
                <c:pt idx="331">
                  <c:v>54032</c:v>
                </c:pt>
                <c:pt idx="332">
                  <c:v>54061</c:v>
                </c:pt>
                <c:pt idx="333">
                  <c:v>54092</c:v>
                </c:pt>
                <c:pt idx="334">
                  <c:v>54123</c:v>
                </c:pt>
                <c:pt idx="335">
                  <c:v>54152</c:v>
                </c:pt>
                <c:pt idx="336">
                  <c:v>54182</c:v>
                </c:pt>
                <c:pt idx="337">
                  <c:v>54215</c:v>
                </c:pt>
                <c:pt idx="338">
                  <c:v>54243</c:v>
                </c:pt>
                <c:pt idx="339">
                  <c:v>54274</c:v>
                </c:pt>
                <c:pt idx="340">
                  <c:v>54306</c:v>
                </c:pt>
                <c:pt idx="341">
                  <c:v>54335</c:v>
                </c:pt>
                <c:pt idx="342">
                  <c:v>54366</c:v>
                </c:pt>
                <c:pt idx="343">
                  <c:v>54396</c:v>
                </c:pt>
                <c:pt idx="344">
                  <c:v>54427</c:v>
                </c:pt>
                <c:pt idx="345">
                  <c:v>54458</c:v>
                </c:pt>
                <c:pt idx="346">
                  <c:v>54487</c:v>
                </c:pt>
                <c:pt idx="347">
                  <c:v>54517</c:v>
                </c:pt>
                <c:pt idx="348">
                  <c:v>54547</c:v>
                </c:pt>
                <c:pt idx="349">
                  <c:v>54580</c:v>
                </c:pt>
                <c:pt idx="350">
                  <c:v>54608</c:v>
                </c:pt>
                <c:pt idx="351">
                  <c:v>54642</c:v>
                </c:pt>
                <c:pt idx="352">
                  <c:v>54670</c:v>
                </c:pt>
                <c:pt idx="353">
                  <c:v>54700</c:v>
                </c:pt>
                <c:pt idx="354">
                  <c:v>54733</c:v>
                </c:pt>
                <c:pt idx="355">
                  <c:v>54761</c:v>
                </c:pt>
                <c:pt idx="356">
                  <c:v>54792</c:v>
                </c:pt>
                <c:pt idx="357">
                  <c:v>54823</c:v>
                </c:pt>
                <c:pt idx="358">
                  <c:v>54851</c:v>
                </c:pt>
                <c:pt idx="359">
                  <c:v>54882</c:v>
                </c:pt>
                <c:pt idx="360">
                  <c:v>54914</c:v>
                </c:pt>
                <c:pt idx="361">
                  <c:v>54944</c:v>
                </c:pt>
                <c:pt idx="362">
                  <c:v>54973</c:v>
                </c:pt>
                <c:pt idx="363">
                  <c:v>55006</c:v>
                </c:pt>
                <c:pt idx="364">
                  <c:v>55035</c:v>
                </c:pt>
                <c:pt idx="365">
                  <c:v>55065</c:v>
                </c:pt>
                <c:pt idx="366">
                  <c:v>55097</c:v>
                </c:pt>
                <c:pt idx="367">
                  <c:v>55126</c:v>
                </c:pt>
                <c:pt idx="368">
                  <c:v>55159</c:v>
                </c:pt>
                <c:pt idx="369">
                  <c:v>55190</c:v>
                </c:pt>
                <c:pt idx="370">
                  <c:v>55216</c:v>
                </c:pt>
                <c:pt idx="371">
                  <c:v>55247</c:v>
                </c:pt>
                <c:pt idx="372">
                  <c:v>55278</c:v>
                </c:pt>
                <c:pt idx="373">
                  <c:v>55309</c:v>
                </c:pt>
                <c:pt idx="374">
                  <c:v>55338</c:v>
                </c:pt>
                <c:pt idx="375">
                  <c:v>55370</c:v>
                </c:pt>
                <c:pt idx="376">
                  <c:v>55400</c:v>
                </c:pt>
                <c:pt idx="377">
                  <c:v>55432</c:v>
                </c:pt>
                <c:pt idx="378">
                  <c:v>55461</c:v>
                </c:pt>
                <c:pt idx="379">
                  <c:v>55491</c:v>
                </c:pt>
                <c:pt idx="380">
                  <c:v>55523</c:v>
                </c:pt>
                <c:pt idx="381">
                  <c:v>55553</c:v>
                </c:pt>
                <c:pt idx="382">
                  <c:v>55582</c:v>
                </c:pt>
                <c:pt idx="383">
                  <c:v>55615</c:v>
                </c:pt>
                <c:pt idx="384">
                  <c:v>55643</c:v>
                </c:pt>
                <c:pt idx="385">
                  <c:v>55675</c:v>
                </c:pt>
                <c:pt idx="386">
                  <c:v>55705</c:v>
                </c:pt>
                <c:pt idx="387">
                  <c:v>55735</c:v>
                </c:pt>
                <c:pt idx="388">
                  <c:v>55766</c:v>
                </c:pt>
                <c:pt idx="389">
                  <c:v>55796</c:v>
                </c:pt>
                <c:pt idx="390">
                  <c:v>55827</c:v>
                </c:pt>
                <c:pt idx="391">
                  <c:v>55859</c:v>
                </c:pt>
                <c:pt idx="392">
                  <c:v>55888</c:v>
                </c:pt>
                <c:pt idx="393">
                  <c:v>55919</c:v>
                </c:pt>
                <c:pt idx="394">
                  <c:v>55947</c:v>
                </c:pt>
                <c:pt idx="395">
                  <c:v>55979</c:v>
                </c:pt>
                <c:pt idx="396">
                  <c:v>56008</c:v>
                </c:pt>
                <c:pt idx="397">
                  <c:v>56042</c:v>
                </c:pt>
                <c:pt idx="398">
                  <c:v>56069</c:v>
                </c:pt>
                <c:pt idx="399">
                  <c:v>56100</c:v>
                </c:pt>
                <c:pt idx="400">
                  <c:v>56133</c:v>
                </c:pt>
                <c:pt idx="401">
                  <c:v>56161</c:v>
                </c:pt>
                <c:pt idx="402">
                  <c:v>56192</c:v>
                </c:pt>
                <c:pt idx="403">
                  <c:v>56223</c:v>
                </c:pt>
                <c:pt idx="404">
                  <c:v>56253</c:v>
                </c:pt>
                <c:pt idx="405">
                  <c:v>56284</c:v>
                </c:pt>
                <c:pt idx="406">
                  <c:v>56314</c:v>
                </c:pt>
                <c:pt idx="407">
                  <c:v>56343</c:v>
                </c:pt>
                <c:pt idx="408">
                  <c:v>56373</c:v>
                </c:pt>
                <c:pt idx="409">
                  <c:v>56406</c:v>
                </c:pt>
                <c:pt idx="410">
                  <c:v>56434</c:v>
                </c:pt>
                <c:pt idx="411">
                  <c:v>56465</c:v>
                </c:pt>
                <c:pt idx="412">
                  <c:v>56497</c:v>
                </c:pt>
                <c:pt idx="413">
                  <c:v>56526</c:v>
                </c:pt>
                <c:pt idx="414">
                  <c:v>56557</c:v>
                </c:pt>
                <c:pt idx="415">
                  <c:v>56587</c:v>
                </c:pt>
                <c:pt idx="416">
                  <c:v>56618</c:v>
                </c:pt>
                <c:pt idx="417">
                  <c:v>56649</c:v>
                </c:pt>
                <c:pt idx="418">
                  <c:v>56678</c:v>
                </c:pt>
                <c:pt idx="419">
                  <c:v>56708</c:v>
                </c:pt>
                <c:pt idx="420">
                  <c:v>56738</c:v>
                </c:pt>
                <c:pt idx="421">
                  <c:v>56771</c:v>
                </c:pt>
                <c:pt idx="422">
                  <c:v>56799</c:v>
                </c:pt>
                <c:pt idx="423">
                  <c:v>56833</c:v>
                </c:pt>
                <c:pt idx="424">
                  <c:v>56861</c:v>
                </c:pt>
                <c:pt idx="425">
                  <c:v>56891</c:v>
                </c:pt>
                <c:pt idx="426">
                  <c:v>56924</c:v>
                </c:pt>
                <c:pt idx="427">
                  <c:v>56952</c:v>
                </c:pt>
                <c:pt idx="428">
                  <c:v>56983</c:v>
                </c:pt>
                <c:pt idx="429">
                  <c:v>57016</c:v>
                </c:pt>
                <c:pt idx="430">
                  <c:v>57043</c:v>
                </c:pt>
                <c:pt idx="431">
                  <c:v>57074</c:v>
                </c:pt>
                <c:pt idx="432">
                  <c:v>57105</c:v>
                </c:pt>
                <c:pt idx="433">
                  <c:v>57136</c:v>
                </c:pt>
                <c:pt idx="434">
                  <c:v>57165</c:v>
                </c:pt>
                <c:pt idx="435">
                  <c:v>57197</c:v>
                </c:pt>
                <c:pt idx="436">
                  <c:v>57227</c:v>
                </c:pt>
                <c:pt idx="437">
                  <c:v>57259</c:v>
                </c:pt>
                <c:pt idx="438">
                  <c:v>57288</c:v>
                </c:pt>
                <c:pt idx="439">
                  <c:v>57318</c:v>
                </c:pt>
                <c:pt idx="440">
                  <c:v>57350</c:v>
                </c:pt>
                <c:pt idx="441">
                  <c:v>57381</c:v>
                </c:pt>
                <c:pt idx="442">
                  <c:v>57408</c:v>
                </c:pt>
                <c:pt idx="443">
                  <c:v>57439</c:v>
                </c:pt>
                <c:pt idx="444">
                  <c:v>57469</c:v>
                </c:pt>
                <c:pt idx="445">
                  <c:v>57501</c:v>
                </c:pt>
                <c:pt idx="446">
                  <c:v>57532</c:v>
                </c:pt>
                <c:pt idx="447">
                  <c:v>57561</c:v>
                </c:pt>
                <c:pt idx="448">
                  <c:v>57592</c:v>
                </c:pt>
                <c:pt idx="449">
                  <c:v>57623</c:v>
                </c:pt>
                <c:pt idx="450">
                  <c:v>57653</c:v>
                </c:pt>
                <c:pt idx="451">
                  <c:v>57683</c:v>
                </c:pt>
                <c:pt idx="452">
                  <c:v>57714</c:v>
                </c:pt>
                <c:pt idx="453">
                  <c:v>57745</c:v>
                </c:pt>
                <c:pt idx="454">
                  <c:v>57773</c:v>
                </c:pt>
                <c:pt idx="455">
                  <c:v>57806</c:v>
                </c:pt>
                <c:pt idx="456">
                  <c:v>57834</c:v>
                </c:pt>
                <c:pt idx="457">
                  <c:v>57866</c:v>
                </c:pt>
                <c:pt idx="458">
                  <c:v>57896</c:v>
                </c:pt>
                <c:pt idx="459">
                  <c:v>57926</c:v>
                </c:pt>
                <c:pt idx="460">
                  <c:v>57957</c:v>
                </c:pt>
                <c:pt idx="461">
                  <c:v>57987</c:v>
                </c:pt>
                <c:pt idx="462">
                  <c:v>58018</c:v>
                </c:pt>
                <c:pt idx="463">
                  <c:v>58050</c:v>
                </c:pt>
                <c:pt idx="464">
                  <c:v>58079</c:v>
                </c:pt>
                <c:pt idx="465">
                  <c:v>58110</c:v>
                </c:pt>
                <c:pt idx="466">
                  <c:v>58138</c:v>
                </c:pt>
                <c:pt idx="467">
                  <c:v>58170</c:v>
                </c:pt>
                <c:pt idx="468">
                  <c:v>58199</c:v>
                </c:pt>
                <c:pt idx="469">
                  <c:v>58233</c:v>
                </c:pt>
                <c:pt idx="470">
                  <c:v>58260</c:v>
                </c:pt>
                <c:pt idx="471">
                  <c:v>58291</c:v>
                </c:pt>
                <c:pt idx="472">
                  <c:v>58324</c:v>
                </c:pt>
                <c:pt idx="473">
                  <c:v>58352</c:v>
                </c:pt>
                <c:pt idx="474">
                  <c:v>58383</c:v>
                </c:pt>
                <c:pt idx="475">
                  <c:v>58414</c:v>
                </c:pt>
                <c:pt idx="476">
                  <c:v>58444</c:v>
                </c:pt>
                <c:pt idx="477">
                  <c:v>58475</c:v>
                </c:pt>
                <c:pt idx="478">
                  <c:v>58505</c:v>
                </c:pt>
                <c:pt idx="479">
                  <c:v>58531</c:v>
                </c:pt>
              </c:numCache>
            </c:numRef>
          </c:cat>
          <c:val>
            <c:numRef>
              <c:f>Benchmarking!$C$2:$C$481</c:f>
              <c:numCache>
                <c:formatCode>0.00000</c:formatCode>
                <c:ptCount val="480"/>
                <c:pt idx="0">
                  <c:v>2.8784527689555972E-2</c:v>
                </c:pt>
                <c:pt idx="1">
                  <c:v>2.8784527689555972E-2</c:v>
                </c:pt>
                <c:pt idx="2">
                  <c:v>2.4922200791328564E-2</c:v>
                </c:pt>
                <c:pt idx="3">
                  <c:v>2.4922200791328564E-2</c:v>
                </c:pt>
                <c:pt idx="4">
                  <c:v>2.4922200791328564E-2</c:v>
                </c:pt>
                <c:pt idx="5">
                  <c:v>2.9888062439056284E-2</c:v>
                </c:pt>
                <c:pt idx="6">
                  <c:v>2.9888062439056284E-2</c:v>
                </c:pt>
                <c:pt idx="7">
                  <c:v>2.9888062439056284E-2</c:v>
                </c:pt>
                <c:pt idx="8">
                  <c:v>3.9801330691737746E-2</c:v>
                </c:pt>
                <c:pt idx="9">
                  <c:v>3.9801330691737746E-2</c:v>
                </c:pt>
                <c:pt idx="10">
                  <c:v>3.9801330691737746E-2</c:v>
                </c:pt>
                <c:pt idx="11">
                  <c:v>4.9690094149505981E-2</c:v>
                </c:pt>
                <c:pt idx="12">
                  <c:v>4.9690094149505981E-2</c:v>
                </c:pt>
                <c:pt idx="13">
                  <c:v>4.9690094149505981E-2</c:v>
                </c:pt>
                <c:pt idx="14">
                  <c:v>5.4625324589823165E-2</c:v>
                </c:pt>
                <c:pt idx="15">
                  <c:v>5.4625324589823165E-2</c:v>
                </c:pt>
                <c:pt idx="16">
                  <c:v>5.4625324589823165E-2</c:v>
                </c:pt>
                <c:pt idx="17">
                  <c:v>5.9554474329477358E-2</c:v>
                </c:pt>
                <c:pt idx="18">
                  <c:v>5.9554474329477358E-2</c:v>
                </c:pt>
                <c:pt idx="19">
                  <c:v>5.9554474329477358E-2</c:v>
                </c:pt>
                <c:pt idx="20">
                  <c:v>3.1474893042360785E-2</c:v>
                </c:pt>
                <c:pt idx="21">
                  <c:v>3.1474893042360785E-2</c:v>
                </c:pt>
                <c:pt idx="22">
                  <c:v>3.1474893042360785E-2</c:v>
                </c:pt>
                <c:pt idx="23">
                  <c:v>3.1474893042360785E-2</c:v>
                </c:pt>
                <c:pt idx="24">
                  <c:v>0.10600089394531055</c:v>
                </c:pt>
                <c:pt idx="25">
                  <c:v>0.10600089394531055</c:v>
                </c:pt>
                <c:pt idx="26">
                  <c:v>0.10600089394531055</c:v>
                </c:pt>
                <c:pt idx="27">
                  <c:v>0.10600089394531055</c:v>
                </c:pt>
                <c:pt idx="28">
                  <c:v>0.10600089394531055</c:v>
                </c:pt>
                <c:pt idx="29">
                  <c:v>0.10600089394531055</c:v>
                </c:pt>
                <c:pt idx="30">
                  <c:v>0.10600089394531055</c:v>
                </c:pt>
                <c:pt idx="31">
                  <c:v>0.10600089394531055</c:v>
                </c:pt>
                <c:pt idx="32">
                  <c:v>0.10600089394531055</c:v>
                </c:pt>
                <c:pt idx="33">
                  <c:v>0.10600089394531055</c:v>
                </c:pt>
                <c:pt idx="34">
                  <c:v>0.10600089394531055</c:v>
                </c:pt>
                <c:pt idx="35">
                  <c:v>0.10600089394531055</c:v>
                </c:pt>
                <c:pt idx="36">
                  <c:v>0.21411572236205206</c:v>
                </c:pt>
                <c:pt idx="37">
                  <c:v>0.21411572236205206</c:v>
                </c:pt>
                <c:pt idx="38">
                  <c:v>0.21411572236205206</c:v>
                </c:pt>
                <c:pt idx="39">
                  <c:v>0.21411572236205206</c:v>
                </c:pt>
                <c:pt idx="40">
                  <c:v>0.21411572236205206</c:v>
                </c:pt>
                <c:pt idx="41">
                  <c:v>0.21411572236205206</c:v>
                </c:pt>
                <c:pt idx="42">
                  <c:v>0.21411572236205206</c:v>
                </c:pt>
                <c:pt idx="43">
                  <c:v>0.21411572236205206</c:v>
                </c:pt>
                <c:pt idx="44">
                  <c:v>0.21411572236205206</c:v>
                </c:pt>
                <c:pt idx="45">
                  <c:v>0.21411572236205206</c:v>
                </c:pt>
                <c:pt idx="46">
                  <c:v>0.21411572236205206</c:v>
                </c:pt>
                <c:pt idx="47">
                  <c:v>0.21411572236205206</c:v>
                </c:pt>
                <c:pt idx="48">
                  <c:v>0.36058119207426503</c:v>
                </c:pt>
                <c:pt idx="49">
                  <c:v>0.36058119207426503</c:v>
                </c:pt>
                <c:pt idx="50">
                  <c:v>0.36058119207426503</c:v>
                </c:pt>
                <c:pt idx="51">
                  <c:v>0.36058119207426503</c:v>
                </c:pt>
                <c:pt idx="52">
                  <c:v>0.36058119207426503</c:v>
                </c:pt>
                <c:pt idx="53">
                  <c:v>0.36058119207426503</c:v>
                </c:pt>
                <c:pt idx="54">
                  <c:v>0.36058119207426503</c:v>
                </c:pt>
                <c:pt idx="55">
                  <c:v>0.36058119207426503</c:v>
                </c:pt>
                <c:pt idx="56">
                  <c:v>0.36058119207426503</c:v>
                </c:pt>
                <c:pt idx="57">
                  <c:v>0.36058119207426503</c:v>
                </c:pt>
                <c:pt idx="58">
                  <c:v>0.36058119207426503</c:v>
                </c:pt>
                <c:pt idx="59">
                  <c:v>0.36058119207426503</c:v>
                </c:pt>
                <c:pt idx="60">
                  <c:v>0.53911250922179399</c:v>
                </c:pt>
                <c:pt idx="61">
                  <c:v>0.53911250922179399</c:v>
                </c:pt>
                <c:pt idx="62">
                  <c:v>0.53911250922179399</c:v>
                </c:pt>
                <c:pt idx="63">
                  <c:v>0.53911250922179399</c:v>
                </c:pt>
                <c:pt idx="64">
                  <c:v>0.53911250922179399</c:v>
                </c:pt>
                <c:pt idx="65">
                  <c:v>0.53911250922179399</c:v>
                </c:pt>
                <c:pt idx="66">
                  <c:v>0.53911250922179399</c:v>
                </c:pt>
                <c:pt idx="67">
                  <c:v>0.53911250922179399</c:v>
                </c:pt>
                <c:pt idx="68">
                  <c:v>0.53911250922179399</c:v>
                </c:pt>
                <c:pt idx="69">
                  <c:v>0.53911250922179399</c:v>
                </c:pt>
                <c:pt idx="70">
                  <c:v>0.53911250922179399</c:v>
                </c:pt>
                <c:pt idx="71">
                  <c:v>0.53911250922179399</c:v>
                </c:pt>
                <c:pt idx="72">
                  <c:v>0.53911250922179399</c:v>
                </c:pt>
                <c:pt idx="73">
                  <c:v>0.53911250922179399</c:v>
                </c:pt>
                <c:pt idx="74">
                  <c:v>0.53911250922179399</c:v>
                </c:pt>
                <c:pt idx="75">
                  <c:v>0.53911250922179399</c:v>
                </c:pt>
                <c:pt idx="76">
                  <c:v>0.53911250922179399</c:v>
                </c:pt>
                <c:pt idx="77">
                  <c:v>0.53911250922179399</c:v>
                </c:pt>
                <c:pt idx="78">
                  <c:v>0.53911250922179399</c:v>
                </c:pt>
                <c:pt idx="79">
                  <c:v>0.53911250922179399</c:v>
                </c:pt>
                <c:pt idx="80">
                  <c:v>0.53911250922179399</c:v>
                </c:pt>
                <c:pt idx="81">
                  <c:v>0.53911250922179399</c:v>
                </c:pt>
                <c:pt idx="82">
                  <c:v>0.53911250922179399</c:v>
                </c:pt>
                <c:pt idx="83">
                  <c:v>0.53911250922179399</c:v>
                </c:pt>
                <c:pt idx="84">
                  <c:v>0.67715377935281451</c:v>
                </c:pt>
                <c:pt idx="85">
                  <c:v>0.67715377935281451</c:v>
                </c:pt>
                <c:pt idx="86">
                  <c:v>0.67715377935281451</c:v>
                </c:pt>
                <c:pt idx="87">
                  <c:v>0.67715377935281451</c:v>
                </c:pt>
                <c:pt idx="88">
                  <c:v>0.67715377935281451</c:v>
                </c:pt>
                <c:pt idx="89">
                  <c:v>0.67715377935281451</c:v>
                </c:pt>
                <c:pt idx="90">
                  <c:v>0.67715377935281451</c:v>
                </c:pt>
                <c:pt idx="91">
                  <c:v>0.67715377935281451</c:v>
                </c:pt>
                <c:pt idx="92">
                  <c:v>0.67715377935281451</c:v>
                </c:pt>
                <c:pt idx="93">
                  <c:v>0.67715377935281451</c:v>
                </c:pt>
                <c:pt idx="94">
                  <c:v>0.67715377935281451</c:v>
                </c:pt>
                <c:pt idx="95">
                  <c:v>0.67715377935281451</c:v>
                </c:pt>
                <c:pt idx="96">
                  <c:v>0.67715377935281451</c:v>
                </c:pt>
                <c:pt idx="97">
                  <c:v>0.67715377935281451</c:v>
                </c:pt>
                <c:pt idx="98">
                  <c:v>0.67715377935281451</c:v>
                </c:pt>
                <c:pt idx="99">
                  <c:v>0.67715377935281451</c:v>
                </c:pt>
                <c:pt idx="100">
                  <c:v>0.67715377935281451</c:v>
                </c:pt>
                <c:pt idx="101">
                  <c:v>0.67715377935281451</c:v>
                </c:pt>
                <c:pt idx="102">
                  <c:v>0.67715377935281451</c:v>
                </c:pt>
                <c:pt idx="103">
                  <c:v>0.67715377935281451</c:v>
                </c:pt>
                <c:pt idx="104">
                  <c:v>0.67715377935281451</c:v>
                </c:pt>
                <c:pt idx="105">
                  <c:v>0.67715377935281451</c:v>
                </c:pt>
                <c:pt idx="106">
                  <c:v>0.67715377935281451</c:v>
                </c:pt>
                <c:pt idx="107">
                  <c:v>0.67715377935281451</c:v>
                </c:pt>
                <c:pt idx="108">
                  <c:v>0.67715377935281451</c:v>
                </c:pt>
                <c:pt idx="109">
                  <c:v>0.67715377935281451</c:v>
                </c:pt>
                <c:pt idx="110">
                  <c:v>0.67715377935281451</c:v>
                </c:pt>
                <c:pt idx="111">
                  <c:v>0.67715377935281451</c:v>
                </c:pt>
                <c:pt idx="112">
                  <c:v>0.67715377935281451</c:v>
                </c:pt>
                <c:pt idx="113">
                  <c:v>0.67715377935281451</c:v>
                </c:pt>
                <c:pt idx="114">
                  <c:v>0.67715377935281451</c:v>
                </c:pt>
                <c:pt idx="115">
                  <c:v>0.67715377935281451</c:v>
                </c:pt>
                <c:pt idx="116">
                  <c:v>0.67715377935281451</c:v>
                </c:pt>
                <c:pt idx="117">
                  <c:v>0.67715377935281451</c:v>
                </c:pt>
                <c:pt idx="118">
                  <c:v>0.67715377935281451</c:v>
                </c:pt>
                <c:pt idx="119">
                  <c:v>0.67715377935281451</c:v>
                </c:pt>
                <c:pt idx="120">
                  <c:v>0.71008899718241525</c:v>
                </c:pt>
                <c:pt idx="121">
                  <c:v>0.71008899718241525</c:v>
                </c:pt>
                <c:pt idx="122">
                  <c:v>0.71008899718241525</c:v>
                </c:pt>
                <c:pt idx="123">
                  <c:v>0.71008899718241525</c:v>
                </c:pt>
                <c:pt idx="124">
                  <c:v>0.71008899718241525</c:v>
                </c:pt>
                <c:pt idx="125">
                  <c:v>0.71008899718241525</c:v>
                </c:pt>
                <c:pt idx="126">
                  <c:v>0.71008899718241525</c:v>
                </c:pt>
                <c:pt idx="127">
                  <c:v>0.71008899718241525</c:v>
                </c:pt>
                <c:pt idx="128">
                  <c:v>0.71008899718241525</c:v>
                </c:pt>
                <c:pt idx="129">
                  <c:v>0.71008899718241525</c:v>
                </c:pt>
                <c:pt idx="130">
                  <c:v>0.71008899718241525</c:v>
                </c:pt>
                <c:pt idx="131">
                  <c:v>0.71008899718241525</c:v>
                </c:pt>
                <c:pt idx="132">
                  <c:v>0.71008899718241525</c:v>
                </c:pt>
                <c:pt idx="133">
                  <c:v>0.71008899718241525</c:v>
                </c:pt>
                <c:pt idx="134">
                  <c:v>0.71008899718241525</c:v>
                </c:pt>
                <c:pt idx="135">
                  <c:v>0.71008899718241525</c:v>
                </c:pt>
                <c:pt idx="136">
                  <c:v>0.71008899718241525</c:v>
                </c:pt>
                <c:pt idx="137">
                  <c:v>0.71008899718241525</c:v>
                </c:pt>
                <c:pt idx="138">
                  <c:v>0.71008899718241525</c:v>
                </c:pt>
                <c:pt idx="139">
                  <c:v>0.71008899718241525</c:v>
                </c:pt>
                <c:pt idx="140">
                  <c:v>0.71008899718241525</c:v>
                </c:pt>
                <c:pt idx="141">
                  <c:v>0.71008899718241525</c:v>
                </c:pt>
                <c:pt idx="142">
                  <c:v>0.71008899718241525</c:v>
                </c:pt>
                <c:pt idx="143">
                  <c:v>0.71008899718241525</c:v>
                </c:pt>
                <c:pt idx="144">
                  <c:v>0.72638591156633214</c:v>
                </c:pt>
                <c:pt idx="145">
                  <c:v>0.72638591156633214</c:v>
                </c:pt>
                <c:pt idx="146">
                  <c:v>0.72638591156633214</c:v>
                </c:pt>
                <c:pt idx="147">
                  <c:v>0.72638591156633214</c:v>
                </c:pt>
                <c:pt idx="148">
                  <c:v>0.72638591156633214</c:v>
                </c:pt>
                <c:pt idx="149">
                  <c:v>0.72638591156633214</c:v>
                </c:pt>
                <c:pt idx="150">
                  <c:v>0.72638591156633214</c:v>
                </c:pt>
                <c:pt idx="151">
                  <c:v>0.72638591156633214</c:v>
                </c:pt>
                <c:pt idx="152">
                  <c:v>0.72638591156633214</c:v>
                </c:pt>
                <c:pt idx="153">
                  <c:v>0.72638591156633214</c:v>
                </c:pt>
                <c:pt idx="154">
                  <c:v>0.72638591156633214</c:v>
                </c:pt>
                <c:pt idx="155">
                  <c:v>0.72638591156633214</c:v>
                </c:pt>
                <c:pt idx="156">
                  <c:v>0.72638591156633214</c:v>
                </c:pt>
                <c:pt idx="157">
                  <c:v>0.72638591156633214</c:v>
                </c:pt>
                <c:pt idx="158">
                  <c:v>0.72638591156633214</c:v>
                </c:pt>
                <c:pt idx="159">
                  <c:v>0.72638591156633214</c:v>
                </c:pt>
                <c:pt idx="160">
                  <c:v>0.72638591156633214</c:v>
                </c:pt>
                <c:pt idx="161">
                  <c:v>0.72638591156633214</c:v>
                </c:pt>
                <c:pt idx="162">
                  <c:v>0.72638591156633214</c:v>
                </c:pt>
                <c:pt idx="163">
                  <c:v>0.72638591156633214</c:v>
                </c:pt>
                <c:pt idx="164">
                  <c:v>0.72638591156633214</c:v>
                </c:pt>
                <c:pt idx="165">
                  <c:v>0.72638591156633214</c:v>
                </c:pt>
                <c:pt idx="166">
                  <c:v>0.72638591156633214</c:v>
                </c:pt>
                <c:pt idx="167">
                  <c:v>0.72638591156633214</c:v>
                </c:pt>
                <c:pt idx="168">
                  <c:v>0.72638591156633214</c:v>
                </c:pt>
                <c:pt idx="169">
                  <c:v>0.72638591156633214</c:v>
                </c:pt>
                <c:pt idx="170">
                  <c:v>0.72638591156633214</c:v>
                </c:pt>
                <c:pt idx="171">
                  <c:v>0.72638591156633214</c:v>
                </c:pt>
                <c:pt idx="172">
                  <c:v>0.72638591156633214</c:v>
                </c:pt>
                <c:pt idx="173">
                  <c:v>0.72638591156633214</c:v>
                </c:pt>
                <c:pt idx="174">
                  <c:v>0.72638591156633214</c:v>
                </c:pt>
                <c:pt idx="175">
                  <c:v>0.72638591156633214</c:v>
                </c:pt>
                <c:pt idx="176">
                  <c:v>0.72638591156633214</c:v>
                </c:pt>
                <c:pt idx="177">
                  <c:v>0.72638591156633214</c:v>
                </c:pt>
                <c:pt idx="178">
                  <c:v>0.72638591156633214</c:v>
                </c:pt>
                <c:pt idx="179">
                  <c:v>0.72638591156633214</c:v>
                </c:pt>
                <c:pt idx="180">
                  <c:v>0.69356694672885844</c:v>
                </c:pt>
                <c:pt idx="181">
                  <c:v>0.69356694672885844</c:v>
                </c:pt>
                <c:pt idx="182">
                  <c:v>0.69356694672885844</c:v>
                </c:pt>
                <c:pt idx="183">
                  <c:v>0.69356694672885844</c:v>
                </c:pt>
                <c:pt idx="184">
                  <c:v>0.69356694672885844</c:v>
                </c:pt>
                <c:pt idx="185">
                  <c:v>0.69356694672885844</c:v>
                </c:pt>
                <c:pt idx="186">
                  <c:v>0.69356694672885844</c:v>
                </c:pt>
                <c:pt idx="187">
                  <c:v>0.69356694672885844</c:v>
                </c:pt>
                <c:pt idx="188">
                  <c:v>0.69356694672885844</c:v>
                </c:pt>
                <c:pt idx="189">
                  <c:v>0.69356694672885844</c:v>
                </c:pt>
                <c:pt idx="190">
                  <c:v>0.69356694672885844</c:v>
                </c:pt>
                <c:pt idx="191">
                  <c:v>0.69356694672885844</c:v>
                </c:pt>
                <c:pt idx="192">
                  <c:v>0.69356694672885844</c:v>
                </c:pt>
                <c:pt idx="193">
                  <c:v>0.69356694672885844</c:v>
                </c:pt>
                <c:pt idx="194">
                  <c:v>0.69356694672885844</c:v>
                </c:pt>
                <c:pt idx="195">
                  <c:v>0.69356694672885844</c:v>
                </c:pt>
                <c:pt idx="196">
                  <c:v>0.69356694672885844</c:v>
                </c:pt>
                <c:pt idx="197">
                  <c:v>0.69356694672885844</c:v>
                </c:pt>
                <c:pt idx="198">
                  <c:v>0.69356694672885844</c:v>
                </c:pt>
                <c:pt idx="199">
                  <c:v>0.69356694672885844</c:v>
                </c:pt>
                <c:pt idx="200">
                  <c:v>0.69356694672885844</c:v>
                </c:pt>
                <c:pt idx="201">
                  <c:v>0.69356694672885844</c:v>
                </c:pt>
                <c:pt idx="202">
                  <c:v>0.69356694672885844</c:v>
                </c:pt>
                <c:pt idx="203">
                  <c:v>0.69356694672885844</c:v>
                </c:pt>
                <c:pt idx="204">
                  <c:v>0.69356694672885844</c:v>
                </c:pt>
                <c:pt idx="205">
                  <c:v>0.69356694672885844</c:v>
                </c:pt>
                <c:pt idx="206">
                  <c:v>0.69356694672885844</c:v>
                </c:pt>
                <c:pt idx="207">
                  <c:v>0.69356694672885844</c:v>
                </c:pt>
                <c:pt idx="208">
                  <c:v>0.69356694672885844</c:v>
                </c:pt>
                <c:pt idx="209">
                  <c:v>0.69356694672885844</c:v>
                </c:pt>
                <c:pt idx="210">
                  <c:v>0.69356694672885844</c:v>
                </c:pt>
                <c:pt idx="211">
                  <c:v>0.69356694672885844</c:v>
                </c:pt>
                <c:pt idx="212">
                  <c:v>0.69356694672885844</c:v>
                </c:pt>
                <c:pt idx="213">
                  <c:v>0.69356694672885844</c:v>
                </c:pt>
                <c:pt idx="214">
                  <c:v>0.69356694672885844</c:v>
                </c:pt>
                <c:pt idx="215">
                  <c:v>0.69356694672885844</c:v>
                </c:pt>
                <c:pt idx="216">
                  <c:v>0.69356694672885844</c:v>
                </c:pt>
                <c:pt idx="217">
                  <c:v>0.69356694672885844</c:v>
                </c:pt>
                <c:pt idx="218">
                  <c:v>0.69356694672885844</c:v>
                </c:pt>
                <c:pt idx="219">
                  <c:v>0.69356694672885844</c:v>
                </c:pt>
                <c:pt idx="220">
                  <c:v>0.69356694672885844</c:v>
                </c:pt>
                <c:pt idx="221">
                  <c:v>0.69356694672885844</c:v>
                </c:pt>
                <c:pt idx="222">
                  <c:v>0.69356694672885844</c:v>
                </c:pt>
                <c:pt idx="223">
                  <c:v>0.69356694672885844</c:v>
                </c:pt>
                <c:pt idx="224">
                  <c:v>0.69356694672885844</c:v>
                </c:pt>
                <c:pt idx="225">
                  <c:v>0.69356694672885844</c:v>
                </c:pt>
                <c:pt idx="226">
                  <c:v>0.69356694672885844</c:v>
                </c:pt>
                <c:pt idx="227">
                  <c:v>0.69356694672885844</c:v>
                </c:pt>
                <c:pt idx="228">
                  <c:v>0.69356694672885844</c:v>
                </c:pt>
                <c:pt idx="229">
                  <c:v>0.69356694672885844</c:v>
                </c:pt>
                <c:pt idx="230">
                  <c:v>0.69356694672885844</c:v>
                </c:pt>
                <c:pt idx="231">
                  <c:v>0.69356694672885844</c:v>
                </c:pt>
                <c:pt idx="232">
                  <c:v>0.69356694672885844</c:v>
                </c:pt>
                <c:pt idx="233">
                  <c:v>0.69356694672885844</c:v>
                </c:pt>
                <c:pt idx="234">
                  <c:v>0.69356694672885844</c:v>
                </c:pt>
                <c:pt idx="235">
                  <c:v>0.69356694672885844</c:v>
                </c:pt>
                <c:pt idx="236">
                  <c:v>0.69356694672885844</c:v>
                </c:pt>
                <c:pt idx="237">
                  <c:v>0.69356694672885844</c:v>
                </c:pt>
                <c:pt idx="238">
                  <c:v>0.69356694672885844</c:v>
                </c:pt>
                <c:pt idx="239">
                  <c:v>0.69356694672885844</c:v>
                </c:pt>
                <c:pt idx="240">
                  <c:v>0.60109372893241486</c:v>
                </c:pt>
                <c:pt idx="241">
                  <c:v>0.60109372893241486</c:v>
                </c:pt>
                <c:pt idx="242">
                  <c:v>0.60109372893241486</c:v>
                </c:pt>
                <c:pt idx="243">
                  <c:v>0.60109372893241486</c:v>
                </c:pt>
                <c:pt idx="244">
                  <c:v>0.60109372893241486</c:v>
                </c:pt>
                <c:pt idx="245">
                  <c:v>0.60109372893241486</c:v>
                </c:pt>
                <c:pt idx="246">
                  <c:v>0.60109372893241486</c:v>
                </c:pt>
                <c:pt idx="247">
                  <c:v>0.60109372893241486</c:v>
                </c:pt>
                <c:pt idx="248">
                  <c:v>0.60109372893241486</c:v>
                </c:pt>
                <c:pt idx="249">
                  <c:v>0.60109372893241486</c:v>
                </c:pt>
                <c:pt idx="250">
                  <c:v>0.60109372893241486</c:v>
                </c:pt>
                <c:pt idx="251">
                  <c:v>0.60109372893241486</c:v>
                </c:pt>
                <c:pt idx="252">
                  <c:v>0.60109372893241486</c:v>
                </c:pt>
                <c:pt idx="253">
                  <c:v>0.60109372893241486</c:v>
                </c:pt>
                <c:pt idx="254">
                  <c:v>0.60109372893241486</c:v>
                </c:pt>
                <c:pt idx="255">
                  <c:v>0.60109372893241486</c:v>
                </c:pt>
                <c:pt idx="256">
                  <c:v>0.60109372893241486</c:v>
                </c:pt>
                <c:pt idx="257">
                  <c:v>0.60109372893241486</c:v>
                </c:pt>
                <c:pt idx="258">
                  <c:v>0.60109372893241486</c:v>
                </c:pt>
                <c:pt idx="259">
                  <c:v>0.60109372893241486</c:v>
                </c:pt>
                <c:pt idx="260">
                  <c:v>0.60109372893241486</c:v>
                </c:pt>
                <c:pt idx="261">
                  <c:v>0.60109372893241486</c:v>
                </c:pt>
                <c:pt idx="262">
                  <c:v>0.60109372893241486</c:v>
                </c:pt>
                <c:pt idx="263">
                  <c:v>0.60109372893241486</c:v>
                </c:pt>
                <c:pt idx="264">
                  <c:v>0.60109372893241486</c:v>
                </c:pt>
                <c:pt idx="265">
                  <c:v>0.60109372893241486</c:v>
                </c:pt>
                <c:pt idx="266">
                  <c:v>0.60109372893241486</c:v>
                </c:pt>
                <c:pt idx="267">
                  <c:v>0.60109372893241486</c:v>
                </c:pt>
                <c:pt idx="268">
                  <c:v>0.60109372893241486</c:v>
                </c:pt>
                <c:pt idx="269">
                  <c:v>0.60109372893241486</c:v>
                </c:pt>
                <c:pt idx="270">
                  <c:v>0.60109372893241486</c:v>
                </c:pt>
                <c:pt idx="271">
                  <c:v>0.60109372893241486</c:v>
                </c:pt>
                <c:pt idx="272">
                  <c:v>0.60109372893241486</c:v>
                </c:pt>
                <c:pt idx="273">
                  <c:v>0.60109372893241486</c:v>
                </c:pt>
                <c:pt idx="274">
                  <c:v>0.60109372893241486</c:v>
                </c:pt>
                <c:pt idx="275">
                  <c:v>0.60109372893241486</c:v>
                </c:pt>
                <c:pt idx="276">
                  <c:v>0.60109372893241486</c:v>
                </c:pt>
                <c:pt idx="277">
                  <c:v>0.60109372893241486</c:v>
                </c:pt>
                <c:pt idx="278">
                  <c:v>0.60109372893241486</c:v>
                </c:pt>
                <c:pt idx="279">
                  <c:v>0.60109372893241486</c:v>
                </c:pt>
                <c:pt idx="280">
                  <c:v>0.60109372893241486</c:v>
                </c:pt>
                <c:pt idx="281">
                  <c:v>0.60109372893241486</c:v>
                </c:pt>
                <c:pt idx="282">
                  <c:v>0.60109372893241486</c:v>
                </c:pt>
                <c:pt idx="283">
                  <c:v>0.60109372893241486</c:v>
                </c:pt>
                <c:pt idx="284">
                  <c:v>0.60109372893241486</c:v>
                </c:pt>
                <c:pt idx="285">
                  <c:v>0.60109372893241486</c:v>
                </c:pt>
                <c:pt idx="286">
                  <c:v>0.60109372893241486</c:v>
                </c:pt>
                <c:pt idx="287">
                  <c:v>0.60109372893241486</c:v>
                </c:pt>
                <c:pt idx="288">
                  <c:v>0.60109372893241486</c:v>
                </c:pt>
                <c:pt idx="289">
                  <c:v>0.60109372893241486</c:v>
                </c:pt>
                <c:pt idx="290">
                  <c:v>0.60109372893241486</c:v>
                </c:pt>
                <c:pt idx="291">
                  <c:v>0.60109372893241486</c:v>
                </c:pt>
                <c:pt idx="292">
                  <c:v>0.60109372893241486</c:v>
                </c:pt>
                <c:pt idx="293">
                  <c:v>0.60109372893241486</c:v>
                </c:pt>
                <c:pt idx="294">
                  <c:v>0.60109372893241486</c:v>
                </c:pt>
                <c:pt idx="295">
                  <c:v>0.60109372893241486</c:v>
                </c:pt>
                <c:pt idx="296">
                  <c:v>0.60109372893241486</c:v>
                </c:pt>
                <c:pt idx="297">
                  <c:v>0.60109372893241486</c:v>
                </c:pt>
                <c:pt idx="298">
                  <c:v>0.60109372893241486</c:v>
                </c:pt>
                <c:pt idx="299">
                  <c:v>0.60109372893241486</c:v>
                </c:pt>
                <c:pt idx="300">
                  <c:v>0.60109372893241486</c:v>
                </c:pt>
                <c:pt idx="301">
                  <c:v>0.60109372893241486</c:v>
                </c:pt>
                <c:pt idx="302">
                  <c:v>0.60109372893241486</c:v>
                </c:pt>
                <c:pt idx="303">
                  <c:v>0.60109372893241486</c:v>
                </c:pt>
                <c:pt idx="304">
                  <c:v>0.60109372893241486</c:v>
                </c:pt>
                <c:pt idx="305">
                  <c:v>0.60109372893241486</c:v>
                </c:pt>
                <c:pt idx="306">
                  <c:v>0.60109372893241486</c:v>
                </c:pt>
                <c:pt idx="307">
                  <c:v>0.60109372893241486</c:v>
                </c:pt>
                <c:pt idx="308">
                  <c:v>0.60109372893241486</c:v>
                </c:pt>
                <c:pt idx="309">
                  <c:v>0.60109372893241486</c:v>
                </c:pt>
                <c:pt idx="310">
                  <c:v>0.60109372893241486</c:v>
                </c:pt>
                <c:pt idx="311">
                  <c:v>0.60109372893241486</c:v>
                </c:pt>
                <c:pt idx="312">
                  <c:v>0.60109372893241486</c:v>
                </c:pt>
                <c:pt idx="313">
                  <c:v>0.60109372893241486</c:v>
                </c:pt>
                <c:pt idx="314">
                  <c:v>0.60109372893241486</c:v>
                </c:pt>
                <c:pt idx="315">
                  <c:v>0.60109372893241486</c:v>
                </c:pt>
                <c:pt idx="316">
                  <c:v>0.60109372893241486</c:v>
                </c:pt>
                <c:pt idx="317">
                  <c:v>0.60109372893241486</c:v>
                </c:pt>
                <c:pt idx="318">
                  <c:v>0.60109372893241486</c:v>
                </c:pt>
                <c:pt idx="319">
                  <c:v>0.60109372893241486</c:v>
                </c:pt>
                <c:pt idx="320">
                  <c:v>0.60109372893241486</c:v>
                </c:pt>
                <c:pt idx="321">
                  <c:v>0.60109372893241486</c:v>
                </c:pt>
                <c:pt idx="322">
                  <c:v>0.60109372893241486</c:v>
                </c:pt>
                <c:pt idx="323">
                  <c:v>0.60109372893241486</c:v>
                </c:pt>
                <c:pt idx="324">
                  <c:v>0.60109372893241486</c:v>
                </c:pt>
                <c:pt idx="325">
                  <c:v>0.60109372893241486</c:v>
                </c:pt>
                <c:pt idx="326">
                  <c:v>0.60109372893241486</c:v>
                </c:pt>
                <c:pt idx="327">
                  <c:v>0.60109372893241486</c:v>
                </c:pt>
                <c:pt idx="328">
                  <c:v>0.60109372893241486</c:v>
                </c:pt>
                <c:pt idx="329">
                  <c:v>0.60109372893241486</c:v>
                </c:pt>
                <c:pt idx="330">
                  <c:v>0.60109372893241486</c:v>
                </c:pt>
                <c:pt idx="331">
                  <c:v>0.60109372893241486</c:v>
                </c:pt>
                <c:pt idx="332">
                  <c:v>0.60109372893241486</c:v>
                </c:pt>
                <c:pt idx="333">
                  <c:v>0.60109372893241486</c:v>
                </c:pt>
                <c:pt idx="334">
                  <c:v>0.60109372893241486</c:v>
                </c:pt>
                <c:pt idx="335">
                  <c:v>0.60109372893241486</c:v>
                </c:pt>
                <c:pt idx="336">
                  <c:v>0.60109372893241486</c:v>
                </c:pt>
                <c:pt idx="337">
                  <c:v>0.60109372893241486</c:v>
                </c:pt>
                <c:pt idx="338">
                  <c:v>0.60109372893241486</c:v>
                </c:pt>
                <c:pt idx="339">
                  <c:v>0.60109372893241486</c:v>
                </c:pt>
                <c:pt idx="340">
                  <c:v>0.60109372893241486</c:v>
                </c:pt>
                <c:pt idx="341">
                  <c:v>0.60109372893241486</c:v>
                </c:pt>
                <c:pt idx="342">
                  <c:v>0.60109372893241486</c:v>
                </c:pt>
                <c:pt idx="343">
                  <c:v>0.60109372893241486</c:v>
                </c:pt>
                <c:pt idx="344">
                  <c:v>0.60109372893241486</c:v>
                </c:pt>
                <c:pt idx="345">
                  <c:v>0.60109372893241486</c:v>
                </c:pt>
                <c:pt idx="346">
                  <c:v>0.60109372893241486</c:v>
                </c:pt>
                <c:pt idx="347">
                  <c:v>0.60109372893241486</c:v>
                </c:pt>
                <c:pt idx="348">
                  <c:v>0.60109372893241486</c:v>
                </c:pt>
                <c:pt idx="349">
                  <c:v>0.60109372893241486</c:v>
                </c:pt>
                <c:pt idx="350">
                  <c:v>0.60109372893241486</c:v>
                </c:pt>
                <c:pt idx="351">
                  <c:v>0.60109372893241486</c:v>
                </c:pt>
                <c:pt idx="352">
                  <c:v>0.60109372893241486</c:v>
                </c:pt>
                <c:pt idx="353">
                  <c:v>0.60109372893241486</c:v>
                </c:pt>
                <c:pt idx="354">
                  <c:v>0.60109372893241486</c:v>
                </c:pt>
                <c:pt idx="355">
                  <c:v>0.60109372893241486</c:v>
                </c:pt>
                <c:pt idx="356">
                  <c:v>0.60109372893241486</c:v>
                </c:pt>
                <c:pt idx="357">
                  <c:v>0.60109372893241486</c:v>
                </c:pt>
                <c:pt idx="358">
                  <c:v>0.60109372893241486</c:v>
                </c:pt>
                <c:pt idx="359">
                  <c:v>0.60109372893241486</c:v>
                </c:pt>
                <c:pt idx="360">
                  <c:v>0.36849661531754552</c:v>
                </c:pt>
                <c:pt idx="361">
                  <c:v>0.36849661531754552</c:v>
                </c:pt>
                <c:pt idx="362">
                  <c:v>0.36849661531754552</c:v>
                </c:pt>
                <c:pt idx="363">
                  <c:v>0.36849661531754552</c:v>
                </c:pt>
                <c:pt idx="364">
                  <c:v>0.36849661531754552</c:v>
                </c:pt>
                <c:pt idx="365">
                  <c:v>0.36849661531754552</c:v>
                </c:pt>
                <c:pt idx="366">
                  <c:v>0.36849661531754552</c:v>
                </c:pt>
                <c:pt idx="367">
                  <c:v>0.36849661531754552</c:v>
                </c:pt>
                <c:pt idx="368">
                  <c:v>0.36849661531754552</c:v>
                </c:pt>
                <c:pt idx="369">
                  <c:v>0.36849661531754552</c:v>
                </c:pt>
                <c:pt idx="370">
                  <c:v>0.36849661531754552</c:v>
                </c:pt>
                <c:pt idx="371">
                  <c:v>0.36849661531754552</c:v>
                </c:pt>
                <c:pt idx="372">
                  <c:v>0.36849661531754552</c:v>
                </c:pt>
                <c:pt idx="373">
                  <c:v>0.36849661531754552</c:v>
                </c:pt>
                <c:pt idx="374">
                  <c:v>0.36849661531754552</c:v>
                </c:pt>
                <c:pt idx="375">
                  <c:v>0.36849661531754552</c:v>
                </c:pt>
                <c:pt idx="376">
                  <c:v>0.36849661531754552</c:v>
                </c:pt>
                <c:pt idx="377">
                  <c:v>0.36849661531754552</c:v>
                </c:pt>
                <c:pt idx="378">
                  <c:v>0.36849661531754552</c:v>
                </c:pt>
                <c:pt idx="379">
                  <c:v>0.36849661531754552</c:v>
                </c:pt>
                <c:pt idx="380">
                  <c:v>0.36849661531754552</c:v>
                </c:pt>
                <c:pt idx="381">
                  <c:v>0.36849661531754552</c:v>
                </c:pt>
                <c:pt idx="382">
                  <c:v>0.36849661531754552</c:v>
                </c:pt>
                <c:pt idx="383">
                  <c:v>0.36849661531754552</c:v>
                </c:pt>
                <c:pt idx="384">
                  <c:v>0.36849661531754552</c:v>
                </c:pt>
                <c:pt idx="385">
                  <c:v>0.36849661531754552</c:v>
                </c:pt>
                <c:pt idx="386">
                  <c:v>0.36849661531754552</c:v>
                </c:pt>
                <c:pt idx="387">
                  <c:v>0.36849661531754552</c:v>
                </c:pt>
                <c:pt idx="388">
                  <c:v>0.36849661531754552</c:v>
                </c:pt>
                <c:pt idx="389">
                  <c:v>0.36849661531754552</c:v>
                </c:pt>
                <c:pt idx="390">
                  <c:v>0.36849661531754552</c:v>
                </c:pt>
                <c:pt idx="391">
                  <c:v>0.36849661531754552</c:v>
                </c:pt>
                <c:pt idx="392">
                  <c:v>0.36849661531754552</c:v>
                </c:pt>
                <c:pt idx="393">
                  <c:v>0.36849661531754552</c:v>
                </c:pt>
                <c:pt idx="394">
                  <c:v>0.36849661531754552</c:v>
                </c:pt>
                <c:pt idx="395">
                  <c:v>0.36849661531754552</c:v>
                </c:pt>
                <c:pt idx="396">
                  <c:v>0.36849661531754552</c:v>
                </c:pt>
                <c:pt idx="397">
                  <c:v>0.36849661531754552</c:v>
                </c:pt>
                <c:pt idx="398">
                  <c:v>0.36849661531754552</c:v>
                </c:pt>
                <c:pt idx="399">
                  <c:v>0.36849661531754552</c:v>
                </c:pt>
                <c:pt idx="400">
                  <c:v>0.36849661531754552</c:v>
                </c:pt>
                <c:pt idx="401">
                  <c:v>0.36849661531754552</c:v>
                </c:pt>
                <c:pt idx="402">
                  <c:v>0.36849661531754552</c:v>
                </c:pt>
                <c:pt idx="403">
                  <c:v>0.36849661531754552</c:v>
                </c:pt>
                <c:pt idx="404">
                  <c:v>0.36849661531754552</c:v>
                </c:pt>
                <c:pt idx="405">
                  <c:v>0.36849661531754552</c:v>
                </c:pt>
                <c:pt idx="406">
                  <c:v>0.36849661531754552</c:v>
                </c:pt>
                <c:pt idx="407">
                  <c:v>0.36849661531754552</c:v>
                </c:pt>
                <c:pt idx="408">
                  <c:v>0.36849661531754552</c:v>
                </c:pt>
                <c:pt idx="409">
                  <c:v>0.36849661531754552</c:v>
                </c:pt>
                <c:pt idx="410">
                  <c:v>0.36849661531754552</c:v>
                </c:pt>
                <c:pt idx="411">
                  <c:v>0.36849661531754552</c:v>
                </c:pt>
                <c:pt idx="412">
                  <c:v>0.36849661531754552</c:v>
                </c:pt>
                <c:pt idx="413">
                  <c:v>0.36849661531754552</c:v>
                </c:pt>
                <c:pt idx="414">
                  <c:v>0.36849661531754552</c:v>
                </c:pt>
                <c:pt idx="415">
                  <c:v>0.36849661531754552</c:v>
                </c:pt>
                <c:pt idx="416">
                  <c:v>0.36849661531754552</c:v>
                </c:pt>
                <c:pt idx="417">
                  <c:v>0.36849661531754552</c:v>
                </c:pt>
                <c:pt idx="418">
                  <c:v>0.36849661531754552</c:v>
                </c:pt>
                <c:pt idx="419">
                  <c:v>0.36849661531754552</c:v>
                </c:pt>
                <c:pt idx="420">
                  <c:v>0.36849661531754552</c:v>
                </c:pt>
                <c:pt idx="421">
                  <c:v>0.36849661531754552</c:v>
                </c:pt>
                <c:pt idx="422">
                  <c:v>0.36849661531754552</c:v>
                </c:pt>
                <c:pt idx="423">
                  <c:v>0.36849661531754552</c:v>
                </c:pt>
                <c:pt idx="424">
                  <c:v>0.36849661531754552</c:v>
                </c:pt>
                <c:pt idx="425">
                  <c:v>0.36849661531754552</c:v>
                </c:pt>
                <c:pt idx="426">
                  <c:v>0.36849661531754552</c:v>
                </c:pt>
                <c:pt idx="427">
                  <c:v>0.36849661531754552</c:v>
                </c:pt>
                <c:pt idx="428">
                  <c:v>0.36849661531754552</c:v>
                </c:pt>
                <c:pt idx="429">
                  <c:v>0.36849661531754552</c:v>
                </c:pt>
                <c:pt idx="430">
                  <c:v>0.36849661531754552</c:v>
                </c:pt>
                <c:pt idx="431">
                  <c:v>0.36849661531754552</c:v>
                </c:pt>
                <c:pt idx="432">
                  <c:v>0.36849661531754552</c:v>
                </c:pt>
                <c:pt idx="433">
                  <c:v>0.36849661531754552</c:v>
                </c:pt>
                <c:pt idx="434">
                  <c:v>0.36849661531754552</c:v>
                </c:pt>
                <c:pt idx="435">
                  <c:v>0.36849661531754552</c:v>
                </c:pt>
                <c:pt idx="436">
                  <c:v>0.36849661531754552</c:v>
                </c:pt>
                <c:pt idx="437">
                  <c:v>0.36849661531754552</c:v>
                </c:pt>
                <c:pt idx="438">
                  <c:v>0.36849661531754552</c:v>
                </c:pt>
                <c:pt idx="439">
                  <c:v>0.36849661531754552</c:v>
                </c:pt>
                <c:pt idx="440">
                  <c:v>0.36849661531754552</c:v>
                </c:pt>
                <c:pt idx="441">
                  <c:v>0.36849661531754552</c:v>
                </c:pt>
                <c:pt idx="442">
                  <c:v>0.36849661531754552</c:v>
                </c:pt>
                <c:pt idx="443">
                  <c:v>0.36849661531754552</c:v>
                </c:pt>
                <c:pt idx="444">
                  <c:v>0.36849661531754552</c:v>
                </c:pt>
                <c:pt idx="445">
                  <c:v>0.36849661531754552</c:v>
                </c:pt>
                <c:pt idx="446">
                  <c:v>0.36849661531754552</c:v>
                </c:pt>
                <c:pt idx="447">
                  <c:v>0.36849661531754552</c:v>
                </c:pt>
                <c:pt idx="448">
                  <c:v>0.36849661531754552</c:v>
                </c:pt>
                <c:pt idx="449">
                  <c:v>0.36849661531754552</c:v>
                </c:pt>
                <c:pt idx="450">
                  <c:v>0.36849661531754552</c:v>
                </c:pt>
                <c:pt idx="451">
                  <c:v>0.36849661531754552</c:v>
                </c:pt>
                <c:pt idx="452">
                  <c:v>0.36849661531754552</c:v>
                </c:pt>
                <c:pt idx="453">
                  <c:v>0.36849661531754552</c:v>
                </c:pt>
                <c:pt idx="454">
                  <c:v>0.36849661531754552</c:v>
                </c:pt>
                <c:pt idx="455">
                  <c:v>0.36849661531754552</c:v>
                </c:pt>
                <c:pt idx="456">
                  <c:v>0.36849661531754552</c:v>
                </c:pt>
                <c:pt idx="457">
                  <c:v>0.36849661531754552</c:v>
                </c:pt>
                <c:pt idx="458">
                  <c:v>0.36849661531754552</c:v>
                </c:pt>
                <c:pt idx="459">
                  <c:v>0.36849661531754552</c:v>
                </c:pt>
                <c:pt idx="460">
                  <c:v>0.36849661531754552</c:v>
                </c:pt>
                <c:pt idx="461">
                  <c:v>0.36849661531754552</c:v>
                </c:pt>
                <c:pt idx="462">
                  <c:v>0.36849661531754552</c:v>
                </c:pt>
                <c:pt idx="463">
                  <c:v>0.36849661531754552</c:v>
                </c:pt>
                <c:pt idx="464">
                  <c:v>0.36849661531754552</c:v>
                </c:pt>
                <c:pt idx="465">
                  <c:v>0.36849661531754552</c:v>
                </c:pt>
                <c:pt idx="466">
                  <c:v>0.36849661531754552</c:v>
                </c:pt>
                <c:pt idx="467">
                  <c:v>0.36849661531754552</c:v>
                </c:pt>
                <c:pt idx="468">
                  <c:v>0.36849661531754552</c:v>
                </c:pt>
                <c:pt idx="469">
                  <c:v>0.36849661531754552</c:v>
                </c:pt>
                <c:pt idx="470">
                  <c:v>0.36849661531754552</c:v>
                </c:pt>
                <c:pt idx="471">
                  <c:v>0.36849661531754552</c:v>
                </c:pt>
                <c:pt idx="472">
                  <c:v>0.36849661531754552</c:v>
                </c:pt>
                <c:pt idx="473">
                  <c:v>0.36849661531754552</c:v>
                </c:pt>
                <c:pt idx="474">
                  <c:v>0.36849661531754552</c:v>
                </c:pt>
                <c:pt idx="475">
                  <c:v>0.36849661531754552</c:v>
                </c:pt>
                <c:pt idx="476">
                  <c:v>0.36849661531754552</c:v>
                </c:pt>
                <c:pt idx="477">
                  <c:v>0.36849661531754552</c:v>
                </c:pt>
                <c:pt idx="478">
                  <c:v>0.36849661531754552</c:v>
                </c:pt>
                <c:pt idx="479">
                  <c:v>0.36849661531754552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195584"/>
        <c:axId val="230197120"/>
      </c:lineChart>
      <c:dateAx>
        <c:axId val="230195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0197120"/>
        <c:crosses val="autoZero"/>
        <c:auto val="1"/>
        <c:lblOffset val="100"/>
        <c:baseTimeUnit val="days"/>
      </c:dateAx>
      <c:valAx>
        <c:axId val="230197120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230195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8372966171219696"/>
          <c:y val="0.56640996545641109"/>
          <c:w val="0.12198038648950861"/>
          <c:h val="8.6032304867682804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194</xdr:row>
      <xdr:rowOff>161924</xdr:rowOff>
    </xdr:from>
    <xdr:to>
      <xdr:col>14</xdr:col>
      <xdr:colOff>57151</xdr:colOff>
      <xdr:row>210</xdr:row>
      <xdr:rowOff>57149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185</xdr:row>
          <xdr:rowOff>85725</xdr:rowOff>
        </xdr:from>
        <xdr:to>
          <xdr:col>11</xdr:col>
          <xdr:colOff>323850</xdr:colOff>
          <xdr:row>190</xdr:row>
          <xdr:rowOff>76200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Solver for SOFR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</xdr:row>
      <xdr:rowOff>9525</xdr:rowOff>
    </xdr:from>
    <xdr:to>
      <xdr:col>17</xdr:col>
      <xdr:colOff>600074</xdr:colOff>
      <xdr:row>29</xdr:row>
      <xdr:rowOff>14287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cmegroup.com/trading/interest-rates/stir/three-month-sofr.html" TargetMode="External"/><Relationship Id="rId1" Type="http://schemas.openxmlformats.org/officeDocument/2006/relationships/hyperlink" Target="https://apps.newyorkfed.org/markets/autorates/SOFR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4"/>
  <sheetViews>
    <sheetView tabSelected="1" workbookViewId="0"/>
  </sheetViews>
  <sheetFormatPr defaultRowHeight="15" x14ac:dyDescent="0.25"/>
  <cols>
    <col min="1" max="1" width="41.7109375" bestFit="1" customWidth="1"/>
    <col min="2" max="2" width="16.140625" style="5" bestFit="1" customWidth="1"/>
    <col min="3" max="3" width="57.85546875" bestFit="1" customWidth="1"/>
  </cols>
  <sheetData>
    <row r="1" spans="1:3" ht="22.5" x14ac:dyDescent="0.45">
      <c r="A1" s="121" t="s">
        <v>233</v>
      </c>
    </row>
    <row r="3" spans="1:3" ht="15.75" x14ac:dyDescent="0.25">
      <c r="A3" s="117" t="s">
        <v>184</v>
      </c>
      <c r="B3" s="10"/>
      <c r="C3" s="10"/>
    </row>
    <row r="4" spans="1:3" s="10" customFormat="1" x14ac:dyDescent="0.25">
      <c r="A4" s="5"/>
      <c r="B4" s="122" t="s">
        <v>219</v>
      </c>
      <c r="C4" s="123"/>
    </row>
    <row r="5" spans="1:3" x14ac:dyDescent="0.25">
      <c r="A5" s="5"/>
      <c r="B5" s="122" t="s">
        <v>186</v>
      </c>
      <c r="C5" s="123"/>
    </row>
    <row r="6" spans="1:3" s="10" customFormat="1" x14ac:dyDescent="0.25">
      <c r="A6" s="5"/>
      <c r="B6" s="122" t="s">
        <v>178</v>
      </c>
      <c r="C6" s="123"/>
    </row>
    <row r="7" spans="1:3" s="10" customFormat="1" ht="50.25" customHeight="1" x14ac:dyDescent="0.25">
      <c r="A7" s="5"/>
      <c r="B7" s="126" t="s">
        <v>236</v>
      </c>
      <c r="C7" s="127"/>
    </row>
    <row r="8" spans="1:3" s="10" customFormat="1" x14ac:dyDescent="0.25">
      <c r="A8" s="5"/>
    </row>
    <row r="9" spans="1:3" ht="15.75" x14ac:dyDescent="0.25">
      <c r="A9" s="120" t="s">
        <v>227</v>
      </c>
      <c r="B9" s="10"/>
      <c r="C9" s="10"/>
    </row>
    <row r="10" spans="1:3" ht="45" x14ac:dyDescent="0.25">
      <c r="A10" s="5"/>
      <c r="B10" s="118" t="s">
        <v>229</v>
      </c>
      <c r="C10" s="114" t="s">
        <v>232</v>
      </c>
    </row>
    <row r="11" spans="1:3" s="10" customFormat="1" ht="30" x14ac:dyDescent="0.25">
      <c r="A11" s="5"/>
      <c r="B11" s="124" t="s">
        <v>230</v>
      </c>
      <c r="C11" s="115" t="s">
        <v>231</v>
      </c>
    </row>
    <row r="12" spans="1:3" s="10" customFormat="1" ht="30" x14ac:dyDescent="0.25">
      <c r="A12" s="5"/>
      <c r="B12" s="125"/>
      <c r="C12" s="116" t="s">
        <v>234</v>
      </c>
    </row>
    <row r="13" spans="1:3" s="10" customFormat="1" x14ac:dyDescent="0.25">
      <c r="A13" s="5"/>
      <c r="B13" s="119"/>
      <c r="C13" s="23"/>
    </row>
    <row r="14" spans="1:3" ht="15.75" x14ac:dyDescent="0.25">
      <c r="A14" s="120" t="s">
        <v>185</v>
      </c>
      <c r="B14" s="122" t="s">
        <v>235</v>
      </c>
      <c r="C14" s="123"/>
    </row>
  </sheetData>
  <mergeCells count="6">
    <mergeCell ref="B14:C14"/>
    <mergeCell ref="B11:B12"/>
    <mergeCell ref="B4:C4"/>
    <mergeCell ref="B5:C5"/>
    <mergeCell ref="B6:C6"/>
    <mergeCell ref="B7:C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6"/>
  <sheetViews>
    <sheetView workbookViewId="0"/>
  </sheetViews>
  <sheetFormatPr defaultRowHeight="15" x14ac:dyDescent="0.25"/>
  <cols>
    <col min="1" max="1" width="44" bestFit="1" customWidth="1"/>
    <col min="2" max="2" width="19.42578125" bestFit="1" customWidth="1"/>
    <col min="4" max="4" width="61.7109375" customWidth="1"/>
    <col min="5" max="5" width="16.5703125" bestFit="1" customWidth="1"/>
    <col min="6" max="6" width="13.5703125" bestFit="1" customWidth="1"/>
  </cols>
  <sheetData>
    <row r="1" spans="1:8" s="10" customFormat="1" ht="16.5" thickBot="1" x14ac:dyDescent="0.3">
      <c r="A1" s="37" t="s">
        <v>204</v>
      </c>
      <c r="B1" s="36" t="s">
        <v>205</v>
      </c>
    </row>
    <row r="2" spans="1:8" ht="18.75" x14ac:dyDescent="0.4">
      <c r="A2" s="27" t="s">
        <v>187</v>
      </c>
      <c r="B2" s="38"/>
      <c r="C2" s="38"/>
      <c r="D2" s="39" t="s">
        <v>186</v>
      </c>
      <c r="E2" s="28"/>
    </row>
    <row r="3" spans="1:8" x14ac:dyDescent="0.25">
      <c r="A3" s="29" t="s">
        <v>189</v>
      </c>
      <c r="B3" s="18"/>
      <c r="C3" s="18"/>
      <c r="D3" s="40" t="s">
        <v>189</v>
      </c>
      <c r="E3" s="30"/>
    </row>
    <row r="4" spans="1:8" x14ac:dyDescent="0.25">
      <c r="A4" s="31" t="s">
        <v>188</v>
      </c>
      <c r="B4" s="18"/>
      <c r="C4" s="18"/>
      <c r="D4" s="41" t="s">
        <v>190</v>
      </c>
      <c r="E4" s="30"/>
    </row>
    <row r="5" spans="1:8" x14ac:dyDescent="0.25">
      <c r="A5" s="33" t="s">
        <v>8</v>
      </c>
      <c r="B5" s="9" t="s">
        <v>206</v>
      </c>
      <c r="C5" s="18"/>
      <c r="D5" s="18"/>
      <c r="E5" s="30"/>
    </row>
    <row r="6" spans="1:8" x14ac:dyDescent="0.25">
      <c r="A6" s="42">
        <v>43951</v>
      </c>
      <c r="B6" s="25">
        <v>0.04</v>
      </c>
      <c r="C6" s="18"/>
      <c r="D6" s="9" t="s">
        <v>214</v>
      </c>
      <c r="E6" s="34" t="s">
        <v>176</v>
      </c>
    </row>
    <row r="7" spans="1:8" x14ac:dyDescent="0.25">
      <c r="A7" s="42">
        <v>43950</v>
      </c>
      <c r="B7" s="25">
        <v>0.01</v>
      </c>
      <c r="C7" s="18"/>
      <c r="D7" s="26" t="s">
        <v>207</v>
      </c>
      <c r="E7" s="35">
        <v>99.984999999999999</v>
      </c>
      <c r="F7" s="10"/>
    </row>
    <row r="8" spans="1:8" x14ac:dyDescent="0.25">
      <c r="A8" s="42">
        <v>43949</v>
      </c>
      <c r="B8" s="25">
        <v>0.01</v>
      </c>
      <c r="C8" s="18"/>
      <c r="D8" s="26" t="s">
        <v>208</v>
      </c>
      <c r="E8" s="35">
        <v>99.974999999999994</v>
      </c>
      <c r="F8" s="10"/>
      <c r="H8" s="10"/>
    </row>
    <row r="9" spans="1:8" x14ac:dyDescent="0.25">
      <c r="A9" s="42">
        <v>43948</v>
      </c>
      <c r="B9" s="25">
        <v>0.03</v>
      </c>
      <c r="C9" s="18"/>
      <c r="D9" s="26" t="s">
        <v>209</v>
      </c>
      <c r="E9" s="35">
        <v>99.97</v>
      </c>
      <c r="F9" s="10"/>
      <c r="H9" s="10"/>
    </row>
    <row r="10" spans="1:8" x14ac:dyDescent="0.25">
      <c r="A10" s="42">
        <v>43945</v>
      </c>
      <c r="B10" s="25">
        <v>0.03</v>
      </c>
      <c r="C10" s="18"/>
      <c r="D10" s="26" t="s">
        <v>210</v>
      </c>
      <c r="E10" s="35">
        <v>99.96</v>
      </c>
      <c r="F10" s="10"/>
      <c r="H10" s="10"/>
    </row>
    <row r="11" spans="1:8" x14ac:dyDescent="0.25">
      <c r="A11" s="42">
        <v>43944</v>
      </c>
      <c r="B11" s="25">
        <v>0.01</v>
      </c>
      <c r="C11" s="18"/>
      <c r="D11" s="26" t="s">
        <v>211</v>
      </c>
      <c r="E11" s="35">
        <v>99.95</v>
      </c>
      <c r="F11" s="10"/>
      <c r="H11" s="10"/>
    </row>
    <row r="12" spans="1:8" x14ac:dyDescent="0.25">
      <c r="A12" s="42">
        <v>43943</v>
      </c>
      <c r="B12" s="25">
        <v>0.01</v>
      </c>
      <c r="C12" s="18"/>
      <c r="D12" s="26" t="s">
        <v>212</v>
      </c>
      <c r="E12" s="35">
        <v>99.944999999999993</v>
      </c>
      <c r="F12" s="10"/>
      <c r="H12" s="10"/>
    </row>
    <row r="13" spans="1:8" x14ac:dyDescent="0.25">
      <c r="A13" s="42">
        <v>43942</v>
      </c>
      <c r="B13" s="25">
        <v>0.01</v>
      </c>
      <c r="C13" s="18"/>
      <c r="D13" s="26" t="s">
        <v>213</v>
      </c>
      <c r="E13" s="35">
        <v>99.94</v>
      </c>
      <c r="H13" s="10"/>
    </row>
    <row r="14" spans="1:8" x14ac:dyDescent="0.25">
      <c r="A14" s="42">
        <v>43941</v>
      </c>
      <c r="B14" s="25">
        <v>0.02</v>
      </c>
      <c r="C14" s="18"/>
      <c r="D14" s="18"/>
      <c r="E14" s="30"/>
    </row>
    <row r="15" spans="1:8" x14ac:dyDescent="0.25">
      <c r="A15" s="42">
        <v>43938</v>
      </c>
      <c r="B15" s="25">
        <v>0.03</v>
      </c>
      <c r="C15" s="18"/>
      <c r="D15" s="9" t="s">
        <v>1</v>
      </c>
      <c r="E15" s="51"/>
    </row>
    <row r="16" spans="1:8" x14ac:dyDescent="0.25">
      <c r="A16" s="42">
        <v>43937</v>
      </c>
      <c r="B16" s="25">
        <v>0.03</v>
      </c>
      <c r="C16" s="18"/>
      <c r="D16" s="2">
        <v>43991</v>
      </c>
      <c r="E16" s="52" t="s">
        <v>2</v>
      </c>
    </row>
    <row r="17" spans="1:5" x14ac:dyDescent="0.25">
      <c r="A17" s="42">
        <v>43936</v>
      </c>
      <c r="B17" s="25">
        <v>0.03</v>
      </c>
      <c r="C17" s="18"/>
      <c r="D17" s="2">
        <v>44040</v>
      </c>
      <c r="E17" s="52" t="s">
        <v>3</v>
      </c>
    </row>
    <row r="18" spans="1:5" x14ac:dyDescent="0.25">
      <c r="A18" s="42">
        <v>43935</v>
      </c>
      <c r="B18" s="25">
        <v>0.06</v>
      </c>
      <c r="C18" s="18"/>
      <c r="D18" s="2">
        <v>44089</v>
      </c>
      <c r="E18" s="52" t="s">
        <v>4</v>
      </c>
    </row>
    <row r="19" spans="1:5" x14ac:dyDescent="0.25">
      <c r="A19" s="42">
        <v>43934</v>
      </c>
      <c r="B19" s="25">
        <v>0.02</v>
      </c>
      <c r="C19" s="18"/>
      <c r="D19" s="2">
        <v>44139</v>
      </c>
      <c r="E19" s="52" t="s">
        <v>5</v>
      </c>
    </row>
    <row r="20" spans="1:5" x14ac:dyDescent="0.25">
      <c r="A20" s="42">
        <v>43930</v>
      </c>
      <c r="B20" s="25">
        <v>0.01</v>
      </c>
      <c r="C20" s="18"/>
      <c r="D20" s="2">
        <v>44180</v>
      </c>
      <c r="E20" s="52" t="s">
        <v>6</v>
      </c>
    </row>
    <row r="21" spans="1:5" x14ac:dyDescent="0.25">
      <c r="A21" s="42">
        <v>43929</v>
      </c>
      <c r="B21" s="25">
        <v>0.01</v>
      </c>
      <c r="C21" s="18"/>
      <c r="D21" s="18"/>
      <c r="E21" s="30"/>
    </row>
    <row r="22" spans="1:5" ht="18.75" x14ac:dyDescent="0.4">
      <c r="A22" s="42">
        <v>43928</v>
      </c>
      <c r="B22" s="25">
        <v>0.01</v>
      </c>
      <c r="C22" s="18"/>
      <c r="D22" s="43" t="s">
        <v>178</v>
      </c>
      <c r="E22" s="30"/>
    </row>
    <row r="23" spans="1:5" x14ac:dyDescent="0.25">
      <c r="A23" s="42">
        <v>43927</v>
      </c>
      <c r="B23" s="25">
        <v>0.01</v>
      </c>
      <c r="C23" s="18"/>
      <c r="D23" s="40" t="s">
        <v>191</v>
      </c>
      <c r="E23" s="30"/>
    </row>
    <row r="24" spans="1:5" x14ac:dyDescent="0.25">
      <c r="A24" s="42">
        <v>43924</v>
      </c>
      <c r="B24" s="25">
        <v>0.01</v>
      </c>
      <c r="C24" s="18"/>
      <c r="D24" s="44"/>
      <c r="E24" s="30"/>
    </row>
    <row r="25" spans="1:5" x14ac:dyDescent="0.25">
      <c r="A25" s="42">
        <v>43923</v>
      </c>
      <c r="B25" s="25">
        <v>0.01</v>
      </c>
      <c r="C25" s="18"/>
      <c r="D25" s="9" t="s">
        <v>178</v>
      </c>
      <c r="E25" s="34" t="s">
        <v>203</v>
      </c>
    </row>
    <row r="26" spans="1:5" x14ac:dyDescent="0.25">
      <c r="A26" s="42">
        <v>43922</v>
      </c>
      <c r="B26" s="25">
        <v>0.01</v>
      </c>
      <c r="C26" s="18"/>
      <c r="D26" s="26" t="s">
        <v>192</v>
      </c>
      <c r="E26" s="45">
        <v>0.04</v>
      </c>
    </row>
    <row r="27" spans="1:5" x14ac:dyDescent="0.25">
      <c r="A27" s="42">
        <v>43921</v>
      </c>
      <c r="B27" s="25">
        <v>0.01</v>
      </c>
      <c r="C27" s="18"/>
      <c r="D27" s="26" t="s">
        <v>193</v>
      </c>
      <c r="E27" s="45">
        <v>6.2E-2</v>
      </c>
    </row>
    <row r="28" spans="1:5" x14ac:dyDescent="0.25">
      <c r="A28" s="42">
        <v>43920</v>
      </c>
      <c r="B28" s="25">
        <v>0.01</v>
      </c>
      <c r="C28" s="18"/>
      <c r="D28" s="26" t="s">
        <v>194</v>
      </c>
      <c r="E28" s="45">
        <v>0.1</v>
      </c>
    </row>
    <row r="29" spans="1:5" x14ac:dyDescent="0.25">
      <c r="A29" s="42">
        <v>43917</v>
      </c>
      <c r="B29" s="25">
        <v>0.01</v>
      </c>
      <c r="C29" s="18"/>
      <c r="D29" s="26" t="s">
        <v>195</v>
      </c>
      <c r="E29" s="45">
        <v>0.152</v>
      </c>
    </row>
    <row r="30" spans="1:5" x14ac:dyDescent="0.25">
      <c r="A30" s="42">
        <v>43916</v>
      </c>
      <c r="B30" s="25">
        <v>0.01</v>
      </c>
      <c r="C30" s="18"/>
      <c r="D30" s="26" t="s">
        <v>196</v>
      </c>
      <c r="E30" s="45">
        <v>0.26200000000000001</v>
      </c>
    </row>
    <row r="31" spans="1:5" x14ac:dyDescent="0.25">
      <c r="A31" s="42">
        <v>43915</v>
      </c>
      <c r="B31" s="25">
        <v>0.01</v>
      </c>
      <c r="C31" s="18"/>
      <c r="D31" s="26" t="s">
        <v>197</v>
      </c>
      <c r="E31" s="45">
        <v>0.38500000000000001</v>
      </c>
    </row>
    <row r="32" spans="1:5" x14ac:dyDescent="0.25">
      <c r="A32" s="42">
        <v>43914</v>
      </c>
      <c r="B32" s="25">
        <v>0.01</v>
      </c>
      <c r="C32" s="18"/>
      <c r="D32" s="26" t="s">
        <v>198</v>
      </c>
      <c r="E32" s="45">
        <v>0.438</v>
      </c>
    </row>
    <row r="33" spans="1:5" x14ac:dyDescent="0.25">
      <c r="A33" s="42">
        <v>43913</v>
      </c>
      <c r="B33" s="25">
        <v>0.02</v>
      </c>
      <c r="C33" s="18"/>
      <c r="D33" s="26" t="s">
        <v>199</v>
      </c>
      <c r="E33" s="45">
        <v>0.49399999999999999</v>
      </c>
    </row>
    <row r="34" spans="1:5" x14ac:dyDescent="0.25">
      <c r="A34" s="42">
        <v>43910</v>
      </c>
      <c r="B34" s="25">
        <v>0.04</v>
      </c>
      <c r="C34" s="18"/>
      <c r="D34" s="26" t="s">
        <v>200</v>
      </c>
      <c r="E34" s="45">
        <v>0.54200000000000004</v>
      </c>
    </row>
    <row r="35" spans="1:5" x14ac:dyDescent="0.25">
      <c r="A35" s="42">
        <v>43909</v>
      </c>
      <c r="B35" s="25">
        <v>0.06</v>
      </c>
      <c r="C35" s="18"/>
      <c r="D35" s="26" t="s">
        <v>201</v>
      </c>
      <c r="E35" s="45">
        <v>0.56100000000000005</v>
      </c>
    </row>
    <row r="36" spans="1:5" ht="15.75" thickBot="1" x14ac:dyDescent="0.3">
      <c r="A36" s="46">
        <v>43908</v>
      </c>
      <c r="B36" s="47">
        <v>0.1</v>
      </c>
      <c r="C36" s="48"/>
      <c r="D36" s="49" t="s">
        <v>202</v>
      </c>
      <c r="E36" s="50">
        <v>0.51700000000000002</v>
      </c>
    </row>
  </sheetData>
  <sortState ref="A6:B36">
    <sortCondition descending="1" ref="A6:A36"/>
  </sortState>
  <hyperlinks>
    <hyperlink ref="A4" r:id="rId1"/>
    <hyperlink ref="D4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324"/>
  <sheetViews>
    <sheetView topLeftCell="D1" workbookViewId="0">
      <selection activeCell="D1" sqref="D1"/>
    </sheetView>
  </sheetViews>
  <sheetFormatPr defaultRowHeight="15" outlineLevelCol="1" x14ac:dyDescent="0.25"/>
  <cols>
    <col min="1" max="1" width="11.7109375" hidden="1" customWidth="1" outlineLevel="1"/>
    <col min="2" max="2" width="16.28515625" hidden="1" customWidth="1" outlineLevel="1"/>
    <col min="3" max="3" width="9.140625" hidden="1" customWidth="1" outlineLevel="1"/>
    <col min="4" max="4" width="10.7109375" bestFit="1" customWidth="1" collapsed="1"/>
    <col min="5" max="5" width="16.140625" bestFit="1" customWidth="1"/>
    <col min="6" max="6" width="18.140625" bestFit="1" customWidth="1"/>
    <col min="7" max="7" width="21.7109375" bestFit="1" customWidth="1"/>
    <col min="8" max="8" width="17.42578125" bestFit="1" customWidth="1"/>
    <col min="10" max="10" width="29.140625" bestFit="1" customWidth="1"/>
    <col min="11" max="11" width="13.7109375" bestFit="1" customWidth="1"/>
    <col min="12" max="12" width="17.28515625" bestFit="1" customWidth="1"/>
    <col min="13" max="13" width="19.5703125" bestFit="1" customWidth="1"/>
    <col min="14" max="14" width="22.140625" bestFit="1" customWidth="1"/>
    <col min="15" max="15" width="13.5703125" bestFit="1" customWidth="1"/>
    <col min="16" max="16" width="13" customWidth="1"/>
  </cols>
  <sheetData>
    <row r="1" spans="1:16" ht="30.75" thickBot="1" x14ac:dyDescent="0.45">
      <c r="A1" s="5" t="s">
        <v>222</v>
      </c>
      <c r="B1" s="5" t="s">
        <v>223</v>
      </c>
      <c r="C1" s="5" t="s">
        <v>215</v>
      </c>
      <c r="D1" s="90" t="s">
        <v>8</v>
      </c>
      <c r="E1" s="93" t="s">
        <v>169</v>
      </c>
      <c r="F1" s="94" t="s">
        <v>216</v>
      </c>
      <c r="G1" s="95" t="s">
        <v>217</v>
      </c>
      <c r="H1" s="96" t="s">
        <v>218</v>
      </c>
      <c r="I1" s="7"/>
      <c r="J1" s="91" t="s">
        <v>229</v>
      </c>
      <c r="L1" s="10"/>
      <c r="M1" s="55" t="s">
        <v>220</v>
      </c>
      <c r="N1" s="56" t="s">
        <v>7</v>
      </c>
      <c r="O1" s="56" t="s">
        <v>0</v>
      </c>
      <c r="P1" s="57" t="s">
        <v>13</v>
      </c>
    </row>
    <row r="2" spans="1:16" x14ac:dyDescent="0.25">
      <c r="A2" s="5"/>
      <c r="B2" s="5">
        <v>0</v>
      </c>
      <c r="C2" s="5">
        <v>1</v>
      </c>
      <c r="D2" s="97">
        <v>43951</v>
      </c>
      <c r="E2" s="58">
        <v>1</v>
      </c>
      <c r="F2" s="65">
        <f>P2</f>
        <v>0.04</v>
      </c>
      <c r="G2" s="59">
        <f>L3</f>
        <v>2.8784527689555972E-2</v>
      </c>
      <c r="H2" s="98"/>
      <c r="I2" s="14"/>
      <c r="J2" s="69" t="s">
        <v>10</v>
      </c>
      <c r="K2" s="70" t="s">
        <v>181</v>
      </c>
      <c r="L2" s="71" t="s">
        <v>177</v>
      </c>
      <c r="M2" s="67">
        <f>(P2*N2/36000)+1</f>
        <v>1.0000011111111111</v>
      </c>
      <c r="N2" s="1">
        <v>1</v>
      </c>
      <c r="O2" s="24">
        <v>43951</v>
      </c>
      <c r="P2" s="54">
        <f>Inputs!B6</f>
        <v>0.04</v>
      </c>
    </row>
    <row r="3" spans="1:16" x14ac:dyDescent="0.25">
      <c r="A3" s="5"/>
      <c r="B3" s="5">
        <f t="shared" ref="B3:B34" si="0">D3-$D$2</f>
        <v>1</v>
      </c>
      <c r="C3" s="5">
        <f t="shared" ref="C3:C34" si="1">D3-D2</f>
        <v>1</v>
      </c>
      <c r="D3" s="97">
        <f t="shared" ref="D3:D34" si="2">WORKDAY(D2,1)</f>
        <v>43952</v>
      </c>
      <c r="E3" s="58">
        <f>1/(1+F3*C3/36000)</f>
        <v>0.99999920043042567</v>
      </c>
      <c r="F3" s="59">
        <f>G2</f>
        <v>2.8784527689555972E-2</v>
      </c>
      <c r="G3" s="64"/>
      <c r="H3" s="98"/>
      <c r="I3" s="14"/>
      <c r="J3" s="32"/>
      <c r="K3" s="72">
        <f>(100-O40)</f>
        <v>1.5000000000000568E-2</v>
      </c>
      <c r="L3" s="73">
        <f>(((1+K3*91/360)/K5)^(1/B35)-1)*360</f>
        <v>2.8784527689555972E-2</v>
      </c>
      <c r="M3" s="67">
        <f t="shared" ref="M3:M32" si="3">(P3*N3/36000)+1</f>
        <v>1.0000002777777777</v>
      </c>
      <c r="N3" s="1">
        <f>O2-O3</f>
        <v>1</v>
      </c>
      <c r="O3" s="24">
        <v>43950</v>
      </c>
      <c r="P3" s="54">
        <f>Inputs!B7</f>
        <v>0.01</v>
      </c>
    </row>
    <row r="4" spans="1:16" x14ac:dyDescent="0.25">
      <c r="A4" s="5"/>
      <c r="B4" s="5">
        <f t="shared" si="0"/>
        <v>4</v>
      </c>
      <c r="C4" s="5">
        <f t="shared" si="1"/>
        <v>3</v>
      </c>
      <c r="D4" s="97">
        <f t="shared" si="2"/>
        <v>43955</v>
      </c>
      <c r="E4" s="58">
        <f t="shared" ref="E4:E35" si="4">E3/(1+F4*C4/36000)</f>
        <v>0.99999680172745664</v>
      </c>
      <c r="F4" s="59">
        <f t="shared" ref="F4:F35" si="5">F3</f>
        <v>2.8784527689555972E-2</v>
      </c>
      <c r="G4" s="64"/>
      <c r="H4" s="98"/>
      <c r="I4" s="14"/>
      <c r="J4" s="74"/>
      <c r="K4" s="8" t="s">
        <v>221</v>
      </c>
      <c r="L4" s="75"/>
      <c r="M4" s="67">
        <f t="shared" si="3"/>
        <v>1.0000002777777777</v>
      </c>
      <c r="N4" s="1">
        <f t="shared" ref="N4:N21" si="6">O3-O4</f>
        <v>1</v>
      </c>
      <c r="O4" s="24">
        <v>43949</v>
      </c>
      <c r="P4" s="54">
        <f>Inputs!B8</f>
        <v>0.01</v>
      </c>
    </row>
    <row r="5" spans="1:16" x14ac:dyDescent="0.25">
      <c r="A5" s="5"/>
      <c r="B5" s="5">
        <f t="shared" si="0"/>
        <v>5</v>
      </c>
      <c r="C5" s="5">
        <f t="shared" si="1"/>
        <v>1</v>
      </c>
      <c r="D5" s="97">
        <f t="shared" si="2"/>
        <v>43956</v>
      </c>
      <c r="E5" s="58">
        <f t="shared" si="4"/>
        <v>0.9999960021604396</v>
      </c>
      <c r="F5" s="59">
        <f t="shared" si="5"/>
        <v>2.8784527689555972E-2</v>
      </c>
      <c r="G5" s="64"/>
      <c r="H5" s="98"/>
      <c r="I5" s="14"/>
      <c r="J5" s="74"/>
      <c r="K5" s="76">
        <f>PRODUCT(M2:M32)</f>
        <v>1.0000266669997691</v>
      </c>
      <c r="L5" s="75"/>
      <c r="M5" s="67">
        <f t="shared" si="3"/>
        <v>1.0000008333333332</v>
      </c>
      <c r="N5" s="1">
        <f t="shared" si="6"/>
        <v>1</v>
      </c>
      <c r="O5" s="24">
        <v>43948</v>
      </c>
      <c r="P5" s="54">
        <f>Inputs!B9</f>
        <v>0.03</v>
      </c>
    </row>
    <row r="6" spans="1:16" x14ac:dyDescent="0.25">
      <c r="A6" s="5"/>
      <c r="B6" s="5">
        <f t="shared" si="0"/>
        <v>6</v>
      </c>
      <c r="C6" s="5">
        <f t="shared" si="1"/>
        <v>1</v>
      </c>
      <c r="D6" s="97">
        <f t="shared" si="2"/>
        <v>43957</v>
      </c>
      <c r="E6" s="58">
        <f t="shared" si="4"/>
        <v>0.99999520259406183</v>
      </c>
      <c r="F6" s="59">
        <f t="shared" si="5"/>
        <v>2.8784527689555972E-2</v>
      </c>
      <c r="G6" s="64"/>
      <c r="H6" s="98"/>
      <c r="I6" s="14"/>
      <c r="J6" s="74"/>
      <c r="K6" s="19"/>
      <c r="L6" s="77"/>
      <c r="M6" s="67">
        <f t="shared" si="3"/>
        <v>1.0000024999999999</v>
      </c>
      <c r="N6" s="1">
        <f t="shared" si="6"/>
        <v>3</v>
      </c>
      <c r="O6" s="24">
        <v>43945</v>
      </c>
      <c r="P6" s="54">
        <f>Inputs!B10</f>
        <v>0.03</v>
      </c>
    </row>
    <row r="7" spans="1:16" x14ac:dyDescent="0.25">
      <c r="A7" s="5"/>
      <c r="B7" s="5">
        <f t="shared" si="0"/>
        <v>7</v>
      </c>
      <c r="C7" s="5">
        <f t="shared" si="1"/>
        <v>1</v>
      </c>
      <c r="D7" s="97">
        <f t="shared" si="2"/>
        <v>43958</v>
      </c>
      <c r="E7" s="58">
        <f t="shared" si="4"/>
        <v>0.99999440302832343</v>
      </c>
      <c r="F7" s="59">
        <f t="shared" si="5"/>
        <v>2.8784527689555972E-2</v>
      </c>
      <c r="G7" s="64"/>
      <c r="H7" s="98"/>
      <c r="I7" s="14"/>
      <c r="J7" s="74"/>
      <c r="K7" s="19"/>
      <c r="L7" s="75"/>
      <c r="M7" s="67">
        <f t="shared" si="3"/>
        <v>1.0000002777777777</v>
      </c>
      <c r="N7" s="1">
        <f t="shared" si="6"/>
        <v>1</v>
      </c>
      <c r="O7" s="24">
        <v>43944</v>
      </c>
      <c r="P7" s="54">
        <f>Inputs!B11</f>
        <v>0.01</v>
      </c>
    </row>
    <row r="8" spans="1:16" x14ac:dyDescent="0.25">
      <c r="A8" s="5"/>
      <c r="B8" s="5">
        <f t="shared" si="0"/>
        <v>8</v>
      </c>
      <c r="C8" s="5">
        <f t="shared" si="1"/>
        <v>1</v>
      </c>
      <c r="D8" s="97">
        <f t="shared" si="2"/>
        <v>43959</v>
      </c>
      <c r="E8" s="58">
        <f t="shared" si="4"/>
        <v>0.9999936034632243</v>
      </c>
      <c r="F8" s="59">
        <f t="shared" si="5"/>
        <v>2.8784527689555972E-2</v>
      </c>
      <c r="G8" s="64"/>
      <c r="H8" s="98"/>
      <c r="I8" s="14"/>
      <c r="J8" s="74"/>
      <c r="K8" s="19"/>
      <c r="L8" s="75"/>
      <c r="M8" s="67">
        <f t="shared" si="3"/>
        <v>1.0000002777777777</v>
      </c>
      <c r="N8" s="1">
        <f t="shared" si="6"/>
        <v>1</v>
      </c>
      <c r="O8" s="24">
        <v>43943</v>
      </c>
      <c r="P8" s="54">
        <f>Inputs!B12</f>
        <v>0.01</v>
      </c>
    </row>
    <row r="9" spans="1:16" x14ac:dyDescent="0.25">
      <c r="A9" s="5"/>
      <c r="B9" s="5">
        <f t="shared" si="0"/>
        <v>11</v>
      </c>
      <c r="C9" s="5">
        <f t="shared" si="1"/>
        <v>3</v>
      </c>
      <c r="D9" s="97">
        <f t="shared" si="2"/>
        <v>43962</v>
      </c>
      <c r="E9" s="58">
        <f t="shared" si="4"/>
        <v>0.99999120477368075</v>
      </c>
      <c r="F9" s="59">
        <f t="shared" si="5"/>
        <v>2.8784527689555972E-2</v>
      </c>
      <c r="G9" s="64"/>
      <c r="H9" s="98"/>
      <c r="I9" s="14"/>
      <c r="J9" s="74"/>
      <c r="K9" s="19"/>
      <c r="L9" s="75"/>
      <c r="M9" s="67">
        <f t="shared" si="3"/>
        <v>1.0000002777777777</v>
      </c>
      <c r="N9" s="1">
        <f t="shared" si="6"/>
        <v>1</v>
      </c>
      <c r="O9" s="24">
        <v>43942</v>
      </c>
      <c r="P9" s="54">
        <f>Inputs!B13</f>
        <v>0.01</v>
      </c>
    </row>
    <row r="10" spans="1:16" x14ac:dyDescent="0.25">
      <c r="A10" s="5"/>
      <c r="B10" s="5">
        <f t="shared" si="0"/>
        <v>12</v>
      </c>
      <c r="C10" s="5">
        <f t="shared" si="1"/>
        <v>1</v>
      </c>
      <c r="D10" s="97">
        <f t="shared" si="2"/>
        <v>43963</v>
      </c>
      <c r="E10" s="58">
        <f t="shared" si="4"/>
        <v>0.99999040521113891</v>
      </c>
      <c r="F10" s="59">
        <f t="shared" si="5"/>
        <v>2.8784527689555972E-2</v>
      </c>
      <c r="G10" s="64"/>
      <c r="H10" s="98"/>
      <c r="I10" s="14"/>
      <c r="J10" s="74"/>
      <c r="K10" s="19"/>
      <c r="L10" s="75"/>
      <c r="M10" s="67">
        <f t="shared" si="3"/>
        <v>1.0000005555555556</v>
      </c>
      <c r="N10" s="1">
        <f t="shared" si="6"/>
        <v>1</v>
      </c>
      <c r="O10" s="24">
        <v>43941</v>
      </c>
      <c r="P10" s="54">
        <f>Inputs!B14</f>
        <v>0.02</v>
      </c>
    </row>
    <row r="11" spans="1:16" x14ac:dyDescent="0.25">
      <c r="A11" s="5"/>
      <c r="B11" s="5">
        <f t="shared" si="0"/>
        <v>13</v>
      </c>
      <c r="C11" s="5">
        <f t="shared" si="1"/>
        <v>1</v>
      </c>
      <c r="D11" s="97">
        <f t="shared" si="2"/>
        <v>43964</v>
      </c>
      <c r="E11" s="58">
        <f t="shared" si="4"/>
        <v>0.99998960564923633</v>
      </c>
      <c r="F11" s="59">
        <f t="shared" si="5"/>
        <v>2.8784527689555972E-2</v>
      </c>
      <c r="G11" s="64"/>
      <c r="H11" s="98"/>
      <c r="I11" s="14"/>
      <c r="J11" s="74"/>
      <c r="K11" s="19"/>
      <c r="L11" s="75"/>
      <c r="M11" s="67">
        <f t="shared" si="3"/>
        <v>1.0000024999999999</v>
      </c>
      <c r="N11" s="1">
        <f t="shared" si="6"/>
        <v>3</v>
      </c>
      <c r="O11" s="24">
        <v>43938</v>
      </c>
      <c r="P11" s="54">
        <f>Inputs!B15</f>
        <v>0.03</v>
      </c>
    </row>
    <row r="12" spans="1:16" x14ac:dyDescent="0.25">
      <c r="A12" s="5"/>
      <c r="B12" s="5">
        <f t="shared" si="0"/>
        <v>14</v>
      </c>
      <c r="C12" s="5">
        <f t="shared" si="1"/>
        <v>1</v>
      </c>
      <c r="D12" s="97">
        <f t="shared" si="2"/>
        <v>43965</v>
      </c>
      <c r="E12" s="58">
        <f t="shared" si="4"/>
        <v>0.99998880608797303</v>
      </c>
      <c r="F12" s="59">
        <f t="shared" si="5"/>
        <v>2.8784527689555972E-2</v>
      </c>
      <c r="G12" s="64"/>
      <c r="H12" s="98"/>
      <c r="I12" s="14"/>
      <c r="J12" s="74"/>
      <c r="K12" s="19"/>
      <c r="L12" s="75"/>
      <c r="M12" s="67">
        <f t="shared" si="3"/>
        <v>1.0000008333333332</v>
      </c>
      <c r="N12" s="1">
        <f t="shared" si="6"/>
        <v>1</v>
      </c>
      <c r="O12" s="24">
        <v>43937</v>
      </c>
      <c r="P12" s="54">
        <f>Inputs!B16</f>
        <v>0.03</v>
      </c>
    </row>
    <row r="13" spans="1:16" x14ac:dyDescent="0.25">
      <c r="A13" s="5"/>
      <c r="B13" s="5">
        <f t="shared" si="0"/>
        <v>15</v>
      </c>
      <c r="C13" s="5">
        <f t="shared" si="1"/>
        <v>1</v>
      </c>
      <c r="D13" s="97">
        <f t="shared" si="2"/>
        <v>43966</v>
      </c>
      <c r="E13" s="58">
        <f t="shared" si="4"/>
        <v>0.99998800652734909</v>
      </c>
      <c r="F13" s="59">
        <f t="shared" si="5"/>
        <v>2.8784527689555972E-2</v>
      </c>
      <c r="G13" s="64"/>
      <c r="H13" s="98"/>
      <c r="I13" s="14"/>
      <c r="J13" s="74"/>
      <c r="K13" s="19"/>
      <c r="L13" s="75"/>
      <c r="M13" s="67">
        <f t="shared" si="3"/>
        <v>1.0000008333333332</v>
      </c>
      <c r="N13" s="1">
        <f t="shared" si="6"/>
        <v>1</v>
      </c>
      <c r="O13" s="24">
        <v>43936</v>
      </c>
      <c r="P13" s="54">
        <f>Inputs!B17</f>
        <v>0.03</v>
      </c>
    </row>
    <row r="14" spans="1:16" x14ac:dyDescent="0.25">
      <c r="A14" s="5"/>
      <c r="B14" s="5">
        <f t="shared" si="0"/>
        <v>18</v>
      </c>
      <c r="C14" s="5">
        <f t="shared" si="1"/>
        <v>3</v>
      </c>
      <c r="D14" s="97">
        <f t="shared" si="2"/>
        <v>43969</v>
      </c>
      <c r="E14" s="58">
        <f t="shared" si="4"/>
        <v>0.99998560785123092</v>
      </c>
      <c r="F14" s="59">
        <f t="shared" si="5"/>
        <v>2.8784527689555972E-2</v>
      </c>
      <c r="G14" s="64"/>
      <c r="H14" s="98"/>
      <c r="I14" s="14"/>
      <c r="J14" s="74"/>
      <c r="K14" s="19"/>
      <c r="L14" s="75"/>
      <c r="M14" s="67">
        <f t="shared" si="3"/>
        <v>1.0000016666666667</v>
      </c>
      <c r="N14" s="1">
        <f t="shared" si="6"/>
        <v>1</v>
      </c>
      <c r="O14" s="24">
        <v>43935</v>
      </c>
      <c r="P14" s="54">
        <f>Inputs!B18</f>
        <v>0.06</v>
      </c>
    </row>
    <row r="15" spans="1:16" x14ac:dyDescent="0.25">
      <c r="A15" s="5"/>
      <c r="B15" s="5">
        <f t="shared" si="0"/>
        <v>19</v>
      </c>
      <c r="C15" s="5">
        <f t="shared" si="1"/>
        <v>1</v>
      </c>
      <c r="D15" s="97">
        <f t="shared" si="2"/>
        <v>43970</v>
      </c>
      <c r="E15" s="58">
        <f t="shared" si="4"/>
        <v>0.99998480829316416</v>
      </c>
      <c r="F15" s="59">
        <f t="shared" si="5"/>
        <v>2.8784527689555972E-2</v>
      </c>
      <c r="G15" s="64"/>
      <c r="H15" s="98"/>
      <c r="I15" s="14"/>
      <c r="J15" s="74"/>
      <c r="K15" s="19"/>
      <c r="L15" s="75"/>
      <c r="M15" s="67">
        <f t="shared" si="3"/>
        <v>1.0000005555555556</v>
      </c>
      <c r="N15" s="1">
        <f t="shared" si="6"/>
        <v>1</v>
      </c>
      <c r="O15" s="24">
        <v>43934</v>
      </c>
      <c r="P15" s="54">
        <f>Inputs!B19</f>
        <v>0.02</v>
      </c>
    </row>
    <row r="16" spans="1:16" x14ac:dyDescent="0.25">
      <c r="A16" s="5"/>
      <c r="B16" s="5">
        <f t="shared" si="0"/>
        <v>20</v>
      </c>
      <c r="C16" s="5">
        <f t="shared" si="1"/>
        <v>1</v>
      </c>
      <c r="D16" s="97">
        <f t="shared" si="2"/>
        <v>43971</v>
      </c>
      <c r="E16" s="58">
        <f t="shared" si="4"/>
        <v>0.99998400873573667</v>
      </c>
      <c r="F16" s="59">
        <f t="shared" si="5"/>
        <v>2.8784527689555972E-2</v>
      </c>
      <c r="G16" s="64"/>
      <c r="H16" s="98"/>
      <c r="I16" s="14"/>
      <c r="J16" s="74"/>
      <c r="K16" s="19"/>
      <c r="L16" s="75"/>
      <c r="M16" s="67">
        <f t="shared" si="3"/>
        <v>1.0000011111111111</v>
      </c>
      <c r="N16" s="1">
        <f t="shared" si="6"/>
        <v>4</v>
      </c>
      <c r="O16" s="24">
        <v>43930</v>
      </c>
      <c r="P16" s="54">
        <f>Inputs!B20</f>
        <v>0.01</v>
      </c>
    </row>
    <row r="17" spans="1:16" x14ac:dyDescent="0.25">
      <c r="A17" s="5"/>
      <c r="B17" s="5">
        <f t="shared" si="0"/>
        <v>21</v>
      </c>
      <c r="C17" s="5">
        <f t="shared" si="1"/>
        <v>1</v>
      </c>
      <c r="D17" s="97">
        <f t="shared" si="2"/>
        <v>43972</v>
      </c>
      <c r="E17" s="58">
        <f t="shared" si="4"/>
        <v>0.99998320917894856</v>
      </c>
      <c r="F17" s="59">
        <f t="shared" si="5"/>
        <v>2.8784527689555972E-2</v>
      </c>
      <c r="G17" s="64"/>
      <c r="H17" s="98"/>
      <c r="I17" s="14"/>
      <c r="J17" s="74"/>
      <c r="K17" s="19"/>
      <c r="L17" s="75"/>
      <c r="M17" s="67">
        <f t="shared" si="3"/>
        <v>1.0000002777777777</v>
      </c>
      <c r="N17" s="1">
        <f t="shared" si="6"/>
        <v>1</v>
      </c>
      <c r="O17" s="24">
        <v>43929</v>
      </c>
      <c r="P17" s="54">
        <f>Inputs!B21</f>
        <v>0.01</v>
      </c>
    </row>
    <row r="18" spans="1:16" x14ac:dyDescent="0.25">
      <c r="A18" s="5"/>
      <c r="B18" s="5">
        <f t="shared" si="0"/>
        <v>22</v>
      </c>
      <c r="C18" s="5">
        <f t="shared" si="1"/>
        <v>1</v>
      </c>
      <c r="D18" s="97">
        <f t="shared" si="2"/>
        <v>43973</v>
      </c>
      <c r="E18" s="58">
        <f t="shared" si="4"/>
        <v>0.99998240962279972</v>
      </c>
      <c r="F18" s="59">
        <f t="shared" si="5"/>
        <v>2.8784527689555972E-2</v>
      </c>
      <c r="G18" s="64"/>
      <c r="H18" s="98"/>
      <c r="I18" s="14"/>
      <c r="J18" s="74"/>
      <c r="K18" s="19"/>
      <c r="L18" s="75"/>
      <c r="M18" s="67">
        <f t="shared" si="3"/>
        <v>1.0000002777777777</v>
      </c>
      <c r="N18" s="1">
        <f t="shared" si="6"/>
        <v>1</v>
      </c>
      <c r="O18" s="24">
        <v>43928</v>
      </c>
      <c r="P18" s="54">
        <f>Inputs!B22</f>
        <v>0.01</v>
      </c>
    </row>
    <row r="19" spans="1:16" x14ac:dyDescent="0.25">
      <c r="A19" s="5"/>
      <c r="B19" s="5">
        <f t="shared" si="0"/>
        <v>25</v>
      </c>
      <c r="C19" s="5">
        <f t="shared" si="1"/>
        <v>3</v>
      </c>
      <c r="D19" s="97">
        <f t="shared" si="2"/>
        <v>43976</v>
      </c>
      <c r="E19" s="58">
        <f t="shared" si="4"/>
        <v>0.9999800109601068</v>
      </c>
      <c r="F19" s="59">
        <f t="shared" si="5"/>
        <v>2.8784527689555972E-2</v>
      </c>
      <c r="G19" s="64"/>
      <c r="H19" s="98"/>
      <c r="I19" s="14"/>
      <c r="J19" s="74"/>
      <c r="K19" s="19"/>
      <c r="L19" s="75"/>
      <c r="M19" s="67">
        <f t="shared" si="3"/>
        <v>1.0000002777777777</v>
      </c>
      <c r="N19" s="1">
        <f t="shared" si="6"/>
        <v>1</v>
      </c>
      <c r="O19" s="24">
        <v>43927</v>
      </c>
      <c r="P19" s="54">
        <f>Inputs!B23</f>
        <v>0.01</v>
      </c>
    </row>
    <row r="20" spans="1:16" x14ac:dyDescent="0.25">
      <c r="A20" s="5"/>
      <c r="B20" s="5">
        <f t="shared" si="0"/>
        <v>26</v>
      </c>
      <c r="C20" s="5">
        <f t="shared" si="1"/>
        <v>1</v>
      </c>
      <c r="D20" s="97">
        <f t="shared" si="2"/>
        <v>43977</v>
      </c>
      <c r="E20" s="58">
        <f t="shared" si="4"/>
        <v>0.99997921140651513</v>
      </c>
      <c r="F20" s="59">
        <f t="shared" si="5"/>
        <v>2.8784527689555972E-2</v>
      </c>
      <c r="G20" s="64"/>
      <c r="H20" s="98"/>
      <c r="I20" s="14"/>
      <c r="J20" s="74"/>
      <c r="K20" s="19"/>
      <c r="L20" s="75"/>
      <c r="M20" s="67">
        <f t="shared" si="3"/>
        <v>1.0000008333333332</v>
      </c>
      <c r="N20" s="1">
        <f t="shared" si="6"/>
        <v>3</v>
      </c>
      <c r="O20" s="24">
        <v>43924</v>
      </c>
      <c r="P20" s="54">
        <f>Inputs!B24</f>
        <v>0.01</v>
      </c>
    </row>
    <row r="21" spans="1:16" x14ac:dyDescent="0.25">
      <c r="A21" s="5"/>
      <c r="B21" s="5">
        <f t="shared" si="0"/>
        <v>27</v>
      </c>
      <c r="C21" s="5">
        <f t="shared" si="1"/>
        <v>1</v>
      </c>
      <c r="D21" s="97">
        <f t="shared" si="2"/>
        <v>43978</v>
      </c>
      <c r="E21" s="58">
        <f t="shared" si="4"/>
        <v>0.99997841185356273</v>
      </c>
      <c r="F21" s="59">
        <f t="shared" si="5"/>
        <v>2.8784527689555972E-2</v>
      </c>
      <c r="G21" s="64"/>
      <c r="H21" s="98"/>
      <c r="I21" s="14"/>
      <c r="J21" s="74"/>
      <c r="K21" s="19"/>
      <c r="L21" s="75"/>
      <c r="M21" s="67">
        <f t="shared" si="3"/>
        <v>1.0000002777777777</v>
      </c>
      <c r="N21" s="1">
        <f t="shared" si="6"/>
        <v>1</v>
      </c>
      <c r="O21" s="24">
        <v>43923</v>
      </c>
      <c r="P21" s="54">
        <f>Inputs!B25</f>
        <v>0.01</v>
      </c>
    </row>
    <row r="22" spans="1:16" x14ac:dyDescent="0.25">
      <c r="A22" s="5"/>
      <c r="B22" s="5">
        <f t="shared" si="0"/>
        <v>28</v>
      </c>
      <c r="C22" s="5">
        <f t="shared" si="1"/>
        <v>1</v>
      </c>
      <c r="D22" s="97">
        <f t="shared" si="2"/>
        <v>43979</v>
      </c>
      <c r="E22" s="58">
        <f t="shared" si="4"/>
        <v>0.99997761230124971</v>
      </c>
      <c r="F22" s="59">
        <f t="shared" si="5"/>
        <v>2.8784527689555972E-2</v>
      </c>
      <c r="G22" s="64"/>
      <c r="H22" s="98"/>
      <c r="I22" s="14"/>
      <c r="J22" s="74"/>
      <c r="K22" s="19"/>
      <c r="L22" s="75"/>
      <c r="M22" s="67">
        <f t="shared" si="3"/>
        <v>1.0000002777777777</v>
      </c>
      <c r="N22" s="1">
        <f>O21-O22</f>
        <v>1</v>
      </c>
      <c r="O22" s="24">
        <v>43922</v>
      </c>
      <c r="P22" s="54">
        <f>Inputs!B26</f>
        <v>0.01</v>
      </c>
    </row>
    <row r="23" spans="1:16" x14ac:dyDescent="0.25">
      <c r="A23" s="5"/>
      <c r="B23" s="5">
        <f t="shared" si="0"/>
        <v>29</v>
      </c>
      <c r="C23" s="5">
        <f t="shared" si="1"/>
        <v>1</v>
      </c>
      <c r="D23" s="97">
        <f t="shared" si="2"/>
        <v>43980</v>
      </c>
      <c r="E23" s="58">
        <f t="shared" si="4"/>
        <v>0.99997681274957595</v>
      </c>
      <c r="F23" s="59">
        <f t="shared" si="5"/>
        <v>2.8784527689555972E-2</v>
      </c>
      <c r="G23" s="64"/>
      <c r="H23" s="98"/>
      <c r="I23" s="14"/>
      <c r="J23" s="74"/>
      <c r="K23" s="19"/>
      <c r="L23" s="75"/>
      <c r="M23" s="67">
        <f t="shared" si="3"/>
        <v>1.0000002777777777</v>
      </c>
      <c r="N23" s="6">
        <v>1</v>
      </c>
      <c r="O23" s="24">
        <v>43921</v>
      </c>
      <c r="P23" s="54">
        <f>Inputs!B27</f>
        <v>0.01</v>
      </c>
    </row>
    <row r="24" spans="1:16" x14ac:dyDescent="0.25">
      <c r="A24" s="5"/>
      <c r="B24" s="5">
        <f t="shared" si="0"/>
        <v>32</v>
      </c>
      <c r="C24" s="5">
        <f t="shared" si="1"/>
        <v>3</v>
      </c>
      <c r="D24" s="97">
        <f t="shared" si="2"/>
        <v>43983</v>
      </c>
      <c r="E24" s="58">
        <f t="shared" si="4"/>
        <v>0.9999744141003083</v>
      </c>
      <c r="F24" s="59">
        <f t="shared" si="5"/>
        <v>2.8784527689555972E-2</v>
      </c>
      <c r="G24" s="64"/>
      <c r="H24" s="98"/>
      <c r="I24" s="14"/>
      <c r="J24" s="74"/>
      <c r="K24" s="19"/>
      <c r="L24" s="75"/>
      <c r="M24" s="67">
        <f t="shared" si="3"/>
        <v>1.0000002777777777</v>
      </c>
      <c r="N24" s="1">
        <v>1</v>
      </c>
      <c r="O24" s="24">
        <v>43920</v>
      </c>
      <c r="P24" s="54">
        <f>Inputs!B28</f>
        <v>0.01</v>
      </c>
    </row>
    <row r="25" spans="1:16" x14ac:dyDescent="0.25">
      <c r="A25" s="5"/>
      <c r="B25" s="5">
        <f t="shared" si="0"/>
        <v>33</v>
      </c>
      <c r="C25" s="5">
        <f t="shared" si="1"/>
        <v>1</v>
      </c>
      <c r="D25" s="97">
        <f t="shared" si="2"/>
        <v>43984</v>
      </c>
      <c r="E25" s="58">
        <f t="shared" si="4"/>
        <v>0.99997361455119171</v>
      </c>
      <c r="F25" s="59">
        <f t="shared" si="5"/>
        <v>2.8784527689555972E-2</v>
      </c>
      <c r="G25" s="64"/>
      <c r="H25" s="98"/>
      <c r="I25" s="14"/>
      <c r="J25" s="74"/>
      <c r="K25" s="19"/>
      <c r="L25" s="75"/>
      <c r="M25" s="67">
        <f t="shared" si="3"/>
        <v>1.0000008333333332</v>
      </c>
      <c r="N25" s="1">
        <v>3</v>
      </c>
      <c r="O25" s="24">
        <v>43917</v>
      </c>
      <c r="P25" s="54">
        <f>Inputs!B29</f>
        <v>0.01</v>
      </c>
    </row>
    <row r="26" spans="1:16" x14ac:dyDescent="0.25">
      <c r="A26" s="5"/>
      <c r="B26" s="5">
        <f t="shared" si="0"/>
        <v>34</v>
      </c>
      <c r="C26" s="5">
        <f t="shared" si="1"/>
        <v>1</v>
      </c>
      <c r="D26" s="97">
        <f t="shared" si="2"/>
        <v>43985</v>
      </c>
      <c r="E26" s="58">
        <f t="shared" si="4"/>
        <v>0.9999728150027144</v>
      </c>
      <c r="F26" s="59">
        <f t="shared" si="5"/>
        <v>2.8784527689555972E-2</v>
      </c>
      <c r="G26" s="64"/>
      <c r="H26" s="98"/>
      <c r="I26" s="14"/>
      <c r="J26" s="74"/>
      <c r="K26" s="19"/>
      <c r="L26" s="75"/>
      <c r="M26" s="67">
        <f t="shared" si="3"/>
        <v>1.0000002777777777</v>
      </c>
      <c r="N26" s="1">
        <v>1</v>
      </c>
      <c r="O26" s="24">
        <v>43916</v>
      </c>
      <c r="P26" s="54">
        <f>Inputs!B30</f>
        <v>0.01</v>
      </c>
    </row>
    <row r="27" spans="1:16" x14ac:dyDescent="0.25">
      <c r="A27" s="5"/>
      <c r="B27" s="5">
        <f t="shared" si="0"/>
        <v>35</v>
      </c>
      <c r="C27" s="5">
        <f t="shared" si="1"/>
        <v>1</v>
      </c>
      <c r="D27" s="97">
        <f t="shared" si="2"/>
        <v>43986</v>
      </c>
      <c r="E27" s="58">
        <f t="shared" si="4"/>
        <v>0.99997201545487646</v>
      </c>
      <c r="F27" s="59">
        <f t="shared" si="5"/>
        <v>2.8784527689555972E-2</v>
      </c>
      <c r="G27" s="64"/>
      <c r="H27" s="98"/>
      <c r="I27" s="14"/>
      <c r="J27" s="74"/>
      <c r="K27" s="19"/>
      <c r="L27" s="75"/>
      <c r="M27" s="67">
        <f t="shared" si="3"/>
        <v>1.0000002777777777</v>
      </c>
      <c r="N27" s="1">
        <v>1</v>
      </c>
      <c r="O27" s="24">
        <v>43915</v>
      </c>
      <c r="P27" s="54">
        <f>Inputs!B31</f>
        <v>0.01</v>
      </c>
    </row>
    <row r="28" spans="1:16" x14ac:dyDescent="0.25">
      <c r="A28" s="5"/>
      <c r="B28" s="5">
        <f t="shared" si="0"/>
        <v>36</v>
      </c>
      <c r="C28" s="5">
        <f t="shared" si="1"/>
        <v>1</v>
      </c>
      <c r="D28" s="97">
        <f t="shared" si="2"/>
        <v>43987</v>
      </c>
      <c r="E28" s="58">
        <f t="shared" si="4"/>
        <v>0.99997121590767779</v>
      </c>
      <c r="F28" s="59">
        <f t="shared" si="5"/>
        <v>2.8784527689555972E-2</v>
      </c>
      <c r="G28" s="64"/>
      <c r="H28" s="98"/>
      <c r="I28" s="14"/>
      <c r="J28" s="74"/>
      <c r="K28" s="19"/>
      <c r="L28" s="75"/>
      <c r="M28" s="67">
        <f t="shared" si="3"/>
        <v>1.0000002777777777</v>
      </c>
      <c r="N28" s="1">
        <v>1</v>
      </c>
      <c r="O28" s="24">
        <v>43914</v>
      </c>
      <c r="P28" s="54">
        <f>Inputs!B32</f>
        <v>0.01</v>
      </c>
    </row>
    <row r="29" spans="1:16" x14ac:dyDescent="0.25">
      <c r="A29" s="5"/>
      <c r="B29" s="5">
        <f t="shared" si="0"/>
        <v>39</v>
      </c>
      <c r="C29" s="5">
        <f t="shared" si="1"/>
        <v>3</v>
      </c>
      <c r="D29" s="97">
        <f t="shared" si="2"/>
        <v>43990</v>
      </c>
      <c r="E29" s="58">
        <f t="shared" si="4"/>
        <v>0.9999688172718354</v>
      </c>
      <c r="F29" s="59">
        <f t="shared" si="5"/>
        <v>2.8784527689555972E-2</v>
      </c>
      <c r="G29" s="64"/>
      <c r="H29" s="98"/>
      <c r="I29" s="14"/>
      <c r="J29" s="74"/>
      <c r="K29" s="19"/>
      <c r="L29" s="75"/>
      <c r="M29" s="67">
        <f t="shared" si="3"/>
        <v>1.0000005555555556</v>
      </c>
      <c r="N29" s="1">
        <v>1</v>
      </c>
      <c r="O29" s="24">
        <v>43913</v>
      </c>
      <c r="P29" s="54">
        <f>Inputs!B33</f>
        <v>0.02</v>
      </c>
    </row>
    <row r="30" spans="1:16" x14ac:dyDescent="0.25">
      <c r="A30" s="5"/>
      <c r="B30" s="5">
        <f t="shared" si="0"/>
        <v>40</v>
      </c>
      <c r="C30" s="5">
        <f t="shared" si="1"/>
        <v>1</v>
      </c>
      <c r="D30" s="99">
        <f t="shared" si="2"/>
        <v>43991</v>
      </c>
      <c r="E30" s="58">
        <f t="shared" si="4"/>
        <v>0.9999680177271939</v>
      </c>
      <c r="F30" s="59">
        <f t="shared" si="5"/>
        <v>2.8784527689555972E-2</v>
      </c>
      <c r="G30" s="64"/>
      <c r="H30" s="98"/>
      <c r="I30" s="14" t="s">
        <v>2</v>
      </c>
      <c r="J30" s="74"/>
      <c r="K30" s="19"/>
      <c r="L30" s="75"/>
      <c r="M30" s="67">
        <f t="shared" si="3"/>
        <v>1.0000033333333334</v>
      </c>
      <c r="N30" s="1">
        <v>3</v>
      </c>
      <c r="O30" s="24">
        <v>43910</v>
      </c>
      <c r="P30" s="54">
        <f>Inputs!B34</f>
        <v>0.04</v>
      </c>
    </row>
    <row r="31" spans="1:16" x14ac:dyDescent="0.25">
      <c r="A31" s="5"/>
      <c r="B31" s="5">
        <f t="shared" si="0"/>
        <v>41</v>
      </c>
      <c r="C31" s="5">
        <f t="shared" si="1"/>
        <v>1</v>
      </c>
      <c r="D31" s="97">
        <f t="shared" si="2"/>
        <v>43992</v>
      </c>
      <c r="E31" s="58">
        <f t="shared" si="4"/>
        <v>0.99996721818319168</v>
      </c>
      <c r="F31" s="59">
        <f t="shared" si="5"/>
        <v>2.8784527689555972E-2</v>
      </c>
      <c r="G31" s="64"/>
      <c r="H31" s="98"/>
      <c r="I31" s="14"/>
      <c r="J31" s="74"/>
      <c r="K31" s="19"/>
      <c r="L31" s="75"/>
      <c r="M31" s="67">
        <f t="shared" si="3"/>
        <v>1.0000016666666667</v>
      </c>
      <c r="N31" s="1">
        <v>1</v>
      </c>
      <c r="O31" s="24">
        <v>43909</v>
      </c>
      <c r="P31" s="54">
        <f>Inputs!B35</f>
        <v>0.06</v>
      </c>
    </row>
    <row r="32" spans="1:16" x14ac:dyDescent="0.25">
      <c r="A32" s="5"/>
      <c r="B32" s="5">
        <f t="shared" si="0"/>
        <v>42</v>
      </c>
      <c r="C32" s="5">
        <f t="shared" si="1"/>
        <v>1</v>
      </c>
      <c r="D32" s="97">
        <f t="shared" si="2"/>
        <v>43993</v>
      </c>
      <c r="E32" s="58">
        <f t="shared" si="4"/>
        <v>0.99996641863982871</v>
      </c>
      <c r="F32" s="59">
        <f t="shared" si="5"/>
        <v>2.8784527689555972E-2</v>
      </c>
      <c r="G32" s="64"/>
      <c r="H32" s="98"/>
      <c r="I32" s="14"/>
      <c r="J32" s="74"/>
      <c r="K32" s="19"/>
      <c r="L32" s="75"/>
      <c r="M32" s="67">
        <f t="shared" si="3"/>
        <v>1.0000027777777778</v>
      </c>
      <c r="N32" s="1">
        <v>1</v>
      </c>
      <c r="O32" s="24">
        <v>43908</v>
      </c>
      <c r="P32" s="54">
        <f>Inputs!B36</f>
        <v>0.1</v>
      </c>
    </row>
    <row r="33" spans="1:16" x14ac:dyDescent="0.25">
      <c r="A33" s="5"/>
      <c r="B33" s="5">
        <f t="shared" si="0"/>
        <v>43</v>
      </c>
      <c r="C33" s="5">
        <f t="shared" si="1"/>
        <v>1</v>
      </c>
      <c r="D33" s="97">
        <f t="shared" si="2"/>
        <v>43994</v>
      </c>
      <c r="E33" s="58">
        <f t="shared" si="4"/>
        <v>0.99996561909710502</v>
      </c>
      <c r="F33" s="59">
        <f t="shared" si="5"/>
        <v>2.8784527689555972E-2</v>
      </c>
      <c r="G33" s="64"/>
      <c r="H33" s="98"/>
      <c r="I33" s="14"/>
      <c r="J33" s="74"/>
      <c r="K33" s="19"/>
      <c r="L33" s="78"/>
      <c r="M33" s="10"/>
      <c r="N33" s="10"/>
      <c r="O33" s="10"/>
      <c r="P33" s="10"/>
    </row>
    <row r="34" spans="1:16" x14ac:dyDescent="0.25">
      <c r="A34" s="5"/>
      <c r="B34" s="5">
        <f t="shared" si="0"/>
        <v>46</v>
      </c>
      <c r="C34" s="5">
        <f t="shared" si="1"/>
        <v>3</v>
      </c>
      <c r="D34" s="97">
        <f t="shared" si="2"/>
        <v>43997</v>
      </c>
      <c r="E34" s="58">
        <f t="shared" si="4"/>
        <v>0.99996322047468766</v>
      </c>
      <c r="F34" s="59">
        <f t="shared" si="5"/>
        <v>2.8784527689555972E-2</v>
      </c>
      <c r="G34" s="64"/>
      <c r="H34" s="98"/>
      <c r="I34" s="14"/>
      <c r="J34" s="74"/>
      <c r="K34" s="19"/>
      <c r="L34" s="75"/>
      <c r="M34" s="10"/>
      <c r="N34" s="10"/>
      <c r="O34" s="10"/>
      <c r="P34" s="10"/>
    </row>
    <row r="35" spans="1:16" x14ac:dyDescent="0.25">
      <c r="A35" s="5"/>
      <c r="B35" s="5">
        <f t="shared" ref="B35:B67" si="7">D35-$D$2</f>
        <v>47</v>
      </c>
      <c r="C35" s="5">
        <f t="shared" ref="C35:C66" si="8">D35-D34</f>
        <v>1</v>
      </c>
      <c r="D35" s="97">
        <f t="shared" ref="D35:D67" si="9">WORKDAY(D34,1)</f>
        <v>43998</v>
      </c>
      <c r="E35" s="58">
        <f t="shared" si="4"/>
        <v>0.99996242093452115</v>
      </c>
      <c r="F35" s="59">
        <f t="shared" si="5"/>
        <v>2.8784527689555972E-2</v>
      </c>
      <c r="G35" s="64"/>
      <c r="H35" s="100">
        <f>(1+F35/36000)^B35</f>
        <v>1.0000375804911428</v>
      </c>
      <c r="I35" s="14"/>
      <c r="J35" s="79" t="s">
        <v>9</v>
      </c>
      <c r="K35" s="80" t="s">
        <v>228</v>
      </c>
      <c r="L35" s="81" t="s">
        <v>177</v>
      </c>
      <c r="M35" s="10"/>
      <c r="N35" s="10"/>
      <c r="O35" s="10"/>
      <c r="P35" s="10"/>
    </row>
    <row r="36" spans="1:16" x14ac:dyDescent="0.25">
      <c r="A36" s="5"/>
      <c r="B36" s="5">
        <f t="shared" si="7"/>
        <v>48</v>
      </c>
      <c r="C36" s="5">
        <f t="shared" si="8"/>
        <v>1</v>
      </c>
      <c r="D36" s="101">
        <f t="shared" si="9"/>
        <v>43999</v>
      </c>
      <c r="E36" s="58">
        <f t="shared" ref="E36:E67" si="10">E35/(1+F36*C36/36000)</f>
        <v>0.99996172867766042</v>
      </c>
      <c r="F36" s="59">
        <f>L36</f>
        <v>2.4922200791328564E-2</v>
      </c>
      <c r="G36" s="64"/>
      <c r="H36" s="102"/>
      <c r="I36" s="14"/>
      <c r="J36" s="74"/>
      <c r="K36" s="19">
        <f>100-O41</f>
        <v>2.5000000000005684E-2</v>
      </c>
      <c r="L36" s="73">
        <f>((K36*91/360+1)^(1/91)-1)*360</f>
        <v>2.4922200791328564E-2</v>
      </c>
      <c r="M36" s="10"/>
      <c r="N36" s="10"/>
      <c r="O36" s="10"/>
      <c r="P36" s="10"/>
    </row>
    <row r="37" spans="1:16" x14ac:dyDescent="0.25">
      <c r="A37" s="5"/>
      <c r="B37" s="5">
        <f t="shared" si="7"/>
        <v>49</v>
      </c>
      <c r="C37" s="5">
        <f t="shared" si="8"/>
        <v>1</v>
      </c>
      <c r="D37" s="97">
        <f t="shared" si="9"/>
        <v>44000</v>
      </c>
      <c r="E37" s="58">
        <f t="shared" si="10"/>
        <v>0.99996103642127898</v>
      </c>
      <c r="F37" s="59">
        <f t="shared" ref="F37:F68" si="11">F36</f>
        <v>2.4922200791328564E-2</v>
      </c>
      <c r="G37" s="64"/>
      <c r="H37" s="102"/>
      <c r="I37" s="14"/>
      <c r="J37" s="74"/>
      <c r="K37" s="19"/>
      <c r="L37" s="75"/>
      <c r="M37" s="10"/>
      <c r="N37" s="10"/>
      <c r="O37" s="10"/>
      <c r="P37" s="10"/>
    </row>
    <row r="38" spans="1:16" x14ac:dyDescent="0.25">
      <c r="A38" s="5"/>
      <c r="B38" s="5">
        <f t="shared" si="7"/>
        <v>50</v>
      </c>
      <c r="C38" s="5">
        <f t="shared" si="8"/>
        <v>1</v>
      </c>
      <c r="D38" s="97">
        <f t="shared" si="9"/>
        <v>44001</v>
      </c>
      <c r="E38" s="58">
        <f t="shared" si="10"/>
        <v>0.99996034416537671</v>
      </c>
      <c r="F38" s="59">
        <f t="shared" si="11"/>
        <v>2.4922200791328564E-2</v>
      </c>
      <c r="G38" s="64"/>
      <c r="H38" s="102"/>
      <c r="I38" s="14"/>
      <c r="J38" s="74"/>
      <c r="K38" s="19"/>
      <c r="L38" s="75"/>
      <c r="M38" s="10"/>
      <c r="N38" s="10"/>
      <c r="O38" s="10"/>
      <c r="P38" s="10"/>
    </row>
    <row r="39" spans="1:16" x14ac:dyDescent="0.25">
      <c r="A39" s="5"/>
      <c r="B39" s="5">
        <f t="shared" si="7"/>
        <v>53</v>
      </c>
      <c r="C39" s="5">
        <f t="shared" si="8"/>
        <v>3</v>
      </c>
      <c r="D39" s="97">
        <f t="shared" si="9"/>
        <v>44004</v>
      </c>
      <c r="E39" s="58">
        <f t="shared" si="10"/>
        <v>0.99995826740198313</v>
      </c>
      <c r="F39" s="59">
        <f t="shared" si="11"/>
        <v>2.4922200791328564E-2</v>
      </c>
      <c r="G39" s="64"/>
      <c r="H39" s="102"/>
      <c r="I39" s="14"/>
      <c r="J39" s="74"/>
      <c r="K39" s="19"/>
      <c r="L39" s="75"/>
      <c r="M39" s="63" t="s">
        <v>180</v>
      </c>
      <c r="N39" s="9" t="s">
        <v>181</v>
      </c>
      <c r="O39" s="9" t="s">
        <v>176</v>
      </c>
      <c r="P39" s="10"/>
    </row>
    <row r="40" spans="1:16" x14ac:dyDescent="0.25">
      <c r="A40" s="5"/>
      <c r="B40" s="5">
        <f t="shared" si="7"/>
        <v>54</v>
      </c>
      <c r="C40" s="5">
        <f t="shared" si="8"/>
        <v>1</v>
      </c>
      <c r="D40" s="97">
        <f t="shared" si="9"/>
        <v>44005</v>
      </c>
      <c r="E40" s="58">
        <f t="shared" si="10"/>
        <v>0.99995757514799788</v>
      </c>
      <c r="F40" s="59">
        <f t="shared" si="11"/>
        <v>2.4922200791328564E-2</v>
      </c>
      <c r="G40" s="64"/>
      <c r="H40" s="102"/>
      <c r="I40" s="14"/>
      <c r="J40" s="74"/>
      <c r="K40" s="19"/>
      <c r="L40" s="75"/>
      <c r="M40" s="63" t="s">
        <v>10</v>
      </c>
      <c r="N40" s="1">
        <f>100-O40</f>
        <v>1.5000000000000568E-2</v>
      </c>
      <c r="O40" s="1">
        <f>Inputs!E7</f>
        <v>99.984999999999999</v>
      </c>
      <c r="P40" s="10"/>
    </row>
    <row r="41" spans="1:16" x14ac:dyDescent="0.25">
      <c r="A41" s="5"/>
      <c r="B41" s="5">
        <f t="shared" si="7"/>
        <v>55</v>
      </c>
      <c r="C41" s="5">
        <f t="shared" si="8"/>
        <v>1</v>
      </c>
      <c r="D41" s="97">
        <f t="shared" si="9"/>
        <v>44006</v>
      </c>
      <c r="E41" s="58">
        <f t="shared" si="10"/>
        <v>0.99995688289449181</v>
      </c>
      <c r="F41" s="59">
        <f t="shared" si="11"/>
        <v>2.4922200791328564E-2</v>
      </c>
      <c r="G41" s="64"/>
      <c r="H41" s="102"/>
      <c r="I41" s="14"/>
      <c r="J41" s="74"/>
      <c r="K41" s="19"/>
      <c r="L41" s="75"/>
      <c r="M41" s="63" t="s">
        <v>9</v>
      </c>
      <c r="N41" s="1">
        <f>100-O41</f>
        <v>2.5000000000005684E-2</v>
      </c>
      <c r="O41" s="1">
        <f>Inputs!E8</f>
        <v>99.974999999999994</v>
      </c>
      <c r="P41" s="10"/>
    </row>
    <row r="42" spans="1:16" x14ac:dyDescent="0.25">
      <c r="A42" s="5"/>
      <c r="B42" s="5">
        <f t="shared" si="7"/>
        <v>56</v>
      </c>
      <c r="C42" s="5">
        <f t="shared" si="8"/>
        <v>1</v>
      </c>
      <c r="D42" s="97">
        <f t="shared" si="9"/>
        <v>44007</v>
      </c>
      <c r="E42" s="58">
        <f t="shared" si="10"/>
        <v>0.99995619064146501</v>
      </c>
      <c r="F42" s="59">
        <f t="shared" si="11"/>
        <v>2.4922200791328564E-2</v>
      </c>
      <c r="G42" s="64"/>
      <c r="H42" s="102"/>
      <c r="I42" s="14"/>
      <c r="J42" s="74"/>
      <c r="K42" s="19"/>
      <c r="L42" s="75"/>
      <c r="M42" s="63" t="s">
        <v>11</v>
      </c>
      <c r="N42" s="1">
        <f>100-O42</f>
        <v>3.0000000000001137E-2</v>
      </c>
      <c r="O42" s="1">
        <f>Inputs!E9</f>
        <v>99.97</v>
      </c>
      <c r="P42" s="10"/>
    </row>
    <row r="43" spans="1:16" x14ac:dyDescent="0.25">
      <c r="A43" s="5"/>
      <c r="B43" s="5">
        <f t="shared" si="7"/>
        <v>57</v>
      </c>
      <c r="C43" s="5">
        <f t="shared" si="8"/>
        <v>1</v>
      </c>
      <c r="D43" s="97">
        <f t="shared" si="9"/>
        <v>44008</v>
      </c>
      <c r="E43" s="58">
        <f t="shared" si="10"/>
        <v>0.9999554983889174</v>
      </c>
      <c r="F43" s="59">
        <f t="shared" si="11"/>
        <v>2.4922200791328564E-2</v>
      </c>
      <c r="G43" s="64"/>
      <c r="H43" s="102"/>
      <c r="I43" s="14"/>
      <c r="J43" s="74"/>
      <c r="K43" s="19"/>
      <c r="L43" s="75"/>
      <c r="M43" s="63" t="s">
        <v>12</v>
      </c>
      <c r="N43" s="1">
        <v>4.0000000000006253E-2</v>
      </c>
      <c r="O43" s="1">
        <f>Inputs!E10</f>
        <v>99.96</v>
      </c>
      <c r="P43" s="10"/>
    </row>
    <row r="44" spans="1:16" x14ac:dyDescent="0.25">
      <c r="A44" s="5"/>
      <c r="B44" s="5">
        <f t="shared" si="7"/>
        <v>60</v>
      </c>
      <c r="C44" s="5">
        <f t="shared" si="8"/>
        <v>3</v>
      </c>
      <c r="D44" s="97">
        <f t="shared" si="9"/>
        <v>44011</v>
      </c>
      <c r="E44" s="58">
        <f t="shared" si="10"/>
        <v>0.99995342163558776</v>
      </c>
      <c r="F44" s="59">
        <f t="shared" si="11"/>
        <v>2.4922200791328564E-2</v>
      </c>
      <c r="G44" s="64"/>
      <c r="H44" s="102"/>
      <c r="I44" s="14"/>
      <c r="J44" s="74"/>
      <c r="K44" s="19"/>
      <c r="L44" s="75"/>
      <c r="M44" s="63" t="s">
        <v>172</v>
      </c>
      <c r="N44" s="1">
        <v>4.9999999999997158E-2</v>
      </c>
      <c r="O44" s="1">
        <f>Inputs!E11</f>
        <v>99.95</v>
      </c>
      <c r="P44" s="10"/>
    </row>
    <row r="45" spans="1:16" x14ac:dyDescent="0.25">
      <c r="A45" s="5"/>
      <c r="B45" s="5">
        <f t="shared" si="7"/>
        <v>61</v>
      </c>
      <c r="C45" s="5">
        <f t="shared" si="8"/>
        <v>1</v>
      </c>
      <c r="D45" s="97">
        <f t="shared" si="9"/>
        <v>44012</v>
      </c>
      <c r="E45" s="58">
        <f t="shared" si="10"/>
        <v>0.99995272938495716</v>
      </c>
      <c r="F45" s="59">
        <f t="shared" si="11"/>
        <v>2.4922200791328564E-2</v>
      </c>
      <c r="G45" s="64"/>
      <c r="H45" s="102"/>
      <c r="I45" s="14"/>
      <c r="J45" s="74"/>
      <c r="K45" s="19"/>
      <c r="L45" s="75"/>
      <c r="M45" s="63" t="s">
        <v>173</v>
      </c>
      <c r="N45" s="1">
        <v>5.5000000000006821E-2</v>
      </c>
      <c r="O45" s="1">
        <f>Inputs!E12</f>
        <v>99.944999999999993</v>
      </c>
      <c r="P45" s="10"/>
    </row>
    <row r="46" spans="1:16" x14ac:dyDescent="0.25">
      <c r="A46" s="5"/>
      <c r="B46" s="5">
        <f t="shared" si="7"/>
        <v>62</v>
      </c>
      <c r="C46" s="5">
        <f t="shared" si="8"/>
        <v>1</v>
      </c>
      <c r="D46" s="97">
        <f t="shared" si="9"/>
        <v>44013</v>
      </c>
      <c r="E46" s="58">
        <f t="shared" si="10"/>
        <v>0.99995203713480574</v>
      </c>
      <c r="F46" s="59">
        <f t="shared" si="11"/>
        <v>2.4922200791328564E-2</v>
      </c>
      <c r="G46" s="64"/>
      <c r="H46" s="102"/>
      <c r="I46" s="14"/>
      <c r="J46" s="74"/>
      <c r="K46" s="19"/>
      <c r="L46" s="75"/>
      <c r="M46" s="63" t="s">
        <v>174</v>
      </c>
      <c r="N46" s="1">
        <v>6.0000000000002274E-2</v>
      </c>
      <c r="O46" s="1">
        <f>Inputs!E13</f>
        <v>99.94</v>
      </c>
      <c r="P46" s="10"/>
    </row>
    <row r="47" spans="1:16" x14ac:dyDescent="0.25">
      <c r="A47" s="5"/>
      <c r="B47" s="5">
        <f t="shared" si="7"/>
        <v>63</v>
      </c>
      <c r="C47" s="5">
        <f t="shared" si="8"/>
        <v>1</v>
      </c>
      <c r="D47" s="97">
        <f t="shared" si="9"/>
        <v>44014</v>
      </c>
      <c r="E47" s="58">
        <f t="shared" si="10"/>
        <v>0.9999513448851336</v>
      </c>
      <c r="F47" s="59">
        <f t="shared" si="11"/>
        <v>2.4922200791328564E-2</v>
      </c>
      <c r="G47" s="64"/>
      <c r="H47" s="102"/>
      <c r="I47" s="14"/>
      <c r="J47" s="74"/>
      <c r="K47" s="19"/>
      <c r="L47" s="75"/>
      <c r="M47" s="10"/>
      <c r="N47" s="10"/>
      <c r="O47" s="10"/>
      <c r="P47" s="10"/>
    </row>
    <row r="48" spans="1:16" x14ac:dyDescent="0.25">
      <c r="A48" s="5"/>
      <c r="B48" s="5">
        <f t="shared" si="7"/>
        <v>64</v>
      </c>
      <c r="C48" s="5">
        <f t="shared" si="8"/>
        <v>1</v>
      </c>
      <c r="D48" s="97">
        <f t="shared" si="9"/>
        <v>44015</v>
      </c>
      <c r="E48" s="58">
        <f t="shared" si="10"/>
        <v>0.99995065263594063</v>
      </c>
      <c r="F48" s="59">
        <f t="shared" si="11"/>
        <v>2.4922200791328564E-2</v>
      </c>
      <c r="G48" s="64"/>
      <c r="H48" s="102"/>
      <c r="I48" s="14"/>
      <c r="J48" s="74"/>
      <c r="K48" s="19"/>
      <c r="L48" s="75"/>
      <c r="M48" s="10"/>
      <c r="N48" s="10"/>
      <c r="O48" s="10"/>
      <c r="P48" s="10"/>
    </row>
    <row r="49" spans="1:16" x14ac:dyDescent="0.25">
      <c r="A49" s="5"/>
      <c r="B49" s="5">
        <f t="shared" si="7"/>
        <v>67</v>
      </c>
      <c r="C49" s="5">
        <f t="shared" si="8"/>
        <v>3</v>
      </c>
      <c r="D49" s="97">
        <f t="shared" si="9"/>
        <v>44018</v>
      </c>
      <c r="E49" s="58">
        <f t="shared" si="10"/>
        <v>0.99994857589267483</v>
      </c>
      <c r="F49" s="59">
        <f t="shared" si="11"/>
        <v>2.4922200791328564E-2</v>
      </c>
      <c r="G49" s="64"/>
      <c r="H49" s="102"/>
      <c r="I49" s="14"/>
      <c r="J49" s="74"/>
      <c r="K49" s="19"/>
      <c r="L49" s="75"/>
      <c r="M49" s="10"/>
      <c r="N49" s="10"/>
      <c r="O49" s="10"/>
      <c r="P49" s="10"/>
    </row>
    <row r="50" spans="1:16" x14ac:dyDescent="0.25">
      <c r="A50" s="5"/>
      <c r="B50" s="5">
        <f t="shared" si="7"/>
        <v>68</v>
      </c>
      <c r="C50" s="5">
        <f t="shared" si="8"/>
        <v>1</v>
      </c>
      <c r="D50" s="97">
        <f t="shared" si="9"/>
        <v>44019</v>
      </c>
      <c r="E50" s="58">
        <f t="shared" si="10"/>
        <v>0.99994788364539877</v>
      </c>
      <c r="F50" s="59">
        <f t="shared" si="11"/>
        <v>2.4922200791328564E-2</v>
      </c>
      <c r="G50" s="64"/>
      <c r="H50" s="102"/>
      <c r="I50" s="14"/>
      <c r="J50" s="74"/>
      <c r="K50" s="19"/>
      <c r="L50" s="75"/>
      <c r="M50" s="63" t="s">
        <v>178</v>
      </c>
      <c r="N50" s="10"/>
      <c r="O50" s="10"/>
      <c r="P50" s="10"/>
    </row>
    <row r="51" spans="1:16" x14ac:dyDescent="0.25">
      <c r="A51" s="5"/>
      <c r="B51" s="5">
        <f t="shared" si="7"/>
        <v>69</v>
      </c>
      <c r="C51" s="5">
        <f t="shared" si="8"/>
        <v>1</v>
      </c>
      <c r="D51" s="97">
        <f t="shared" si="9"/>
        <v>44020</v>
      </c>
      <c r="E51" s="58">
        <f t="shared" si="10"/>
        <v>0.999947191398602</v>
      </c>
      <c r="F51" s="59">
        <f t="shared" si="11"/>
        <v>2.4922200791328564E-2</v>
      </c>
      <c r="G51" s="64"/>
      <c r="H51" s="102"/>
      <c r="I51" s="14"/>
      <c r="J51" s="74"/>
      <c r="K51" s="19"/>
      <c r="L51" s="75"/>
      <c r="M51" s="63" t="s">
        <v>183</v>
      </c>
      <c r="N51" s="9"/>
      <c r="O51" s="9" t="s">
        <v>182</v>
      </c>
      <c r="P51" s="10"/>
    </row>
    <row r="52" spans="1:16" x14ac:dyDescent="0.25">
      <c r="A52" s="5"/>
      <c r="B52" s="5">
        <f t="shared" si="7"/>
        <v>70</v>
      </c>
      <c r="C52" s="5">
        <f t="shared" si="8"/>
        <v>1</v>
      </c>
      <c r="D52" s="97">
        <f t="shared" si="9"/>
        <v>44021</v>
      </c>
      <c r="E52" s="58">
        <f t="shared" si="10"/>
        <v>0.9999464991522844</v>
      </c>
      <c r="F52" s="59">
        <f t="shared" si="11"/>
        <v>2.4922200791328564E-2</v>
      </c>
      <c r="G52" s="64"/>
      <c r="H52" s="102"/>
      <c r="I52" s="14"/>
      <c r="J52" s="74"/>
      <c r="K52" s="19"/>
      <c r="L52" s="75"/>
      <c r="M52" s="66">
        <v>24</v>
      </c>
      <c r="N52" s="1" t="s">
        <v>168</v>
      </c>
      <c r="O52" s="12">
        <f>Inputs!E26/100</f>
        <v>4.0000000000000002E-4</v>
      </c>
      <c r="P52" s="10"/>
    </row>
    <row r="53" spans="1:16" x14ac:dyDescent="0.25">
      <c r="A53" s="5"/>
      <c r="B53" s="5">
        <f t="shared" si="7"/>
        <v>71</v>
      </c>
      <c r="C53" s="5">
        <f t="shared" si="8"/>
        <v>1</v>
      </c>
      <c r="D53" s="97">
        <f t="shared" si="9"/>
        <v>44022</v>
      </c>
      <c r="E53" s="58">
        <f t="shared" si="10"/>
        <v>0.99994580690644608</v>
      </c>
      <c r="F53" s="59">
        <f t="shared" si="11"/>
        <v>2.4922200791328564E-2</v>
      </c>
      <c r="G53" s="64"/>
      <c r="H53" s="102"/>
      <c r="I53" s="14"/>
      <c r="J53" s="74"/>
      <c r="K53" s="19"/>
      <c r="L53" s="75"/>
      <c r="M53" s="66">
        <v>36</v>
      </c>
      <c r="N53" s="1" t="s">
        <v>168</v>
      </c>
      <c r="O53" s="12">
        <f>Inputs!E27/100</f>
        <v>6.2E-4</v>
      </c>
      <c r="P53" s="10"/>
    </row>
    <row r="54" spans="1:16" x14ac:dyDescent="0.25">
      <c r="A54" s="5"/>
      <c r="B54" s="5">
        <f t="shared" si="7"/>
        <v>74</v>
      </c>
      <c r="C54" s="5">
        <f t="shared" si="8"/>
        <v>3</v>
      </c>
      <c r="D54" s="97">
        <f t="shared" si="9"/>
        <v>44025</v>
      </c>
      <c r="E54" s="58">
        <f t="shared" si="10"/>
        <v>0.99994373017324412</v>
      </c>
      <c r="F54" s="59">
        <f t="shared" si="11"/>
        <v>2.4922200791328564E-2</v>
      </c>
      <c r="G54" s="64"/>
      <c r="H54" s="102"/>
      <c r="I54" s="14"/>
      <c r="J54" s="74"/>
      <c r="K54" s="19"/>
      <c r="L54" s="75"/>
      <c r="M54" s="66">
        <v>48</v>
      </c>
      <c r="N54" s="1" t="s">
        <v>168</v>
      </c>
      <c r="O54" s="12">
        <f>Inputs!E28/100</f>
        <v>1E-3</v>
      </c>
      <c r="P54" s="10"/>
    </row>
    <row r="55" spans="1:16" x14ac:dyDescent="0.25">
      <c r="A55" s="5"/>
      <c r="B55" s="5">
        <f t="shared" si="7"/>
        <v>75</v>
      </c>
      <c r="C55" s="5">
        <f t="shared" si="8"/>
        <v>1</v>
      </c>
      <c r="D55" s="97">
        <f t="shared" si="9"/>
        <v>44026</v>
      </c>
      <c r="E55" s="58">
        <f t="shared" si="10"/>
        <v>0.99994303792932271</v>
      </c>
      <c r="F55" s="59">
        <f t="shared" si="11"/>
        <v>2.4922200791328564E-2</v>
      </c>
      <c r="G55" s="64"/>
      <c r="H55" s="102"/>
      <c r="I55" s="14"/>
      <c r="J55" s="74"/>
      <c r="K55" s="19"/>
      <c r="L55" s="75"/>
      <c r="M55" s="66">
        <v>60</v>
      </c>
      <c r="N55" s="1" t="s">
        <v>168</v>
      </c>
      <c r="O55" s="12">
        <f>Inputs!E29/100</f>
        <v>1.5199999999999999E-3</v>
      </c>
      <c r="P55" s="10"/>
    </row>
    <row r="56" spans="1:16" x14ac:dyDescent="0.25">
      <c r="A56" s="5"/>
      <c r="B56" s="5">
        <f t="shared" si="7"/>
        <v>76</v>
      </c>
      <c r="C56" s="5">
        <f t="shared" si="8"/>
        <v>1</v>
      </c>
      <c r="D56" s="97">
        <f t="shared" si="9"/>
        <v>44027</v>
      </c>
      <c r="E56" s="58">
        <f t="shared" si="10"/>
        <v>0.99994234568588047</v>
      </c>
      <c r="F56" s="59">
        <f t="shared" si="11"/>
        <v>2.4922200791328564E-2</v>
      </c>
      <c r="G56" s="64"/>
      <c r="H56" s="102"/>
      <c r="I56" s="14"/>
      <c r="J56" s="74"/>
      <c r="K56" s="19"/>
      <c r="L56" s="75"/>
      <c r="M56" s="66">
        <v>84</v>
      </c>
      <c r="N56" s="1" t="s">
        <v>168</v>
      </c>
      <c r="O56" s="12">
        <f>Inputs!E30/100</f>
        <v>2.6199999999999999E-3</v>
      </c>
      <c r="P56" s="10"/>
    </row>
    <row r="57" spans="1:16" x14ac:dyDescent="0.25">
      <c r="A57" s="5"/>
      <c r="B57" s="5">
        <f t="shared" si="7"/>
        <v>77</v>
      </c>
      <c r="C57" s="5">
        <f t="shared" si="8"/>
        <v>1</v>
      </c>
      <c r="D57" s="97">
        <f t="shared" si="9"/>
        <v>44028</v>
      </c>
      <c r="E57" s="58">
        <f t="shared" si="10"/>
        <v>0.99994165344291752</v>
      </c>
      <c r="F57" s="59">
        <f t="shared" si="11"/>
        <v>2.4922200791328564E-2</v>
      </c>
      <c r="G57" s="64"/>
      <c r="H57" s="102"/>
      <c r="I57" s="14"/>
      <c r="J57" s="74"/>
      <c r="K57" s="19"/>
      <c r="L57" s="75"/>
      <c r="M57" s="66">
        <v>120</v>
      </c>
      <c r="N57" s="1" t="s">
        <v>168</v>
      </c>
      <c r="O57" s="12">
        <f>Inputs!E31/100</f>
        <v>3.8500000000000001E-3</v>
      </c>
      <c r="P57" s="10"/>
    </row>
    <row r="58" spans="1:16" x14ac:dyDescent="0.25">
      <c r="A58" s="5"/>
      <c r="B58" s="5">
        <f t="shared" si="7"/>
        <v>78</v>
      </c>
      <c r="C58" s="5">
        <f t="shared" si="8"/>
        <v>1</v>
      </c>
      <c r="D58" s="97">
        <f t="shared" si="9"/>
        <v>44029</v>
      </c>
      <c r="E58" s="58">
        <f t="shared" si="10"/>
        <v>0.99994096120043374</v>
      </c>
      <c r="F58" s="59">
        <f t="shared" si="11"/>
        <v>2.4922200791328564E-2</v>
      </c>
      <c r="G58" s="64"/>
      <c r="H58" s="102"/>
      <c r="I58" s="14"/>
      <c r="J58" s="74"/>
      <c r="K58" s="19"/>
      <c r="L58" s="75"/>
      <c r="M58" s="66">
        <v>144</v>
      </c>
      <c r="N58" s="1" t="s">
        <v>168</v>
      </c>
      <c r="O58" s="12">
        <f>Inputs!E32/100</f>
        <v>4.3800000000000002E-3</v>
      </c>
      <c r="P58" s="10"/>
    </row>
    <row r="59" spans="1:16" x14ac:dyDescent="0.25">
      <c r="A59" s="5"/>
      <c r="B59" s="5">
        <f t="shared" si="7"/>
        <v>81</v>
      </c>
      <c r="C59" s="5">
        <f t="shared" si="8"/>
        <v>3</v>
      </c>
      <c r="D59" s="97">
        <f t="shared" si="9"/>
        <v>44032</v>
      </c>
      <c r="E59" s="58">
        <f t="shared" si="10"/>
        <v>0.99993888447729562</v>
      </c>
      <c r="F59" s="59">
        <f t="shared" si="11"/>
        <v>2.4922200791328564E-2</v>
      </c>
      <c r="G59" s="64"/>
      <c r="H59" s="102"/>
      <c r="I59" s="14"/>
      <c r="J59" s="74"/>
      <c r="K59" s="19"/>
      <c r="L59" s="75"/>
      <c r="M59" s="66">
        <v>180</v>
      </c>
      <c r="N59" s="1" t="s">
        <v>168</v>
      </c>
      <c r="O59" s="12">
        <f>Inputs!E33/100</f>
        <v>4.9399999999999999E-3</v>
      </c>
      <c r="P59" s="10"/>
    </row>
    <row r="60" spans="1:16" x14ac:dyDescent="0.25">
      <c r="A60" s="5"/>
      <c r="B60" s="5">
        <f t="shared" si="7"/>
        <v>82</v>
      </c>
      <c r="C60" s="5">
        <f t="shared" si="8"/>
        <v>1</v>
      </c>
      <c r="D60" s="97">
        <f t="shared" si="9"/>
        <v>44033</v>
      </c>
      <c r="E60" s="58">
        <f t="shared" si="10"/>
        <v>0.99993819223672875</v>
      </c>
      <c r="F60" s="59">
        <f t="shared" si="11"/>
        <v>2.4922200791328564E-2</v>
      </c>
      <c r="G60" s="64"/>
      <c r="H60" s="102"/>
      <c r="I60" s="14"/>
      <c r="J60" s="74"/>
      <c r="K60" s="19"/>
      <c r="L60" s="75"/>
      <c r="M60" s="66">
        <v>240</v>
      </c>
      <c r="N60" s="1" t="s">
        <v>168</v>
      </c>
      <c r="O60" s="12">
        <f>Inputs!E34/100</f>
        <v>5.4200000000000003E-3</v>
      </c>
      <c r="P60" s="10"/>
    </row>
    <row r="61" spans="1:16" x14ac:dyDescent="0.25">
      <c r="A61" s="5"/>
      <c r="B61" s="5">
        <f t="shared" si="7"/>
        <v>83</v>
      </c>
      <c r="C61" s="5">
        <f t="shared" si="8"/>
        <v>1</v>
      </c>
      <c r="D61" s="97">
        <f t="shared" si="9"/>
        <v>44034</v>
      </c>
      <c r="E61" s="58">
        <f t="shared" si="10"/>
        <v>0.99993749999664117</v>
      </c>
      <c r="F61" s="59">
        <f t="shared" si="11"/>
        <v>2.4922200791328564E-2</v>
      </c>
      <c r="G61" s="64"/>
      <c r="H61" s="102"/>
      <c r="I61" s="14"/>
      <c r="J61" s="74"/>
      <c r="K61" s="19"/>
      <c r="L61" s="75"/>
      <c r="M61" s="66">
        <v>360</v>
      </c>
      <c r="N61" s="1" t="s">
        <v>168</v>
      </c>
      <c r="O61" s="12">
        <f>Inputs!E35/100</f>
        <v>5.6100000000000004E-3</v>
      </c>
      <c r="P61" s="10"/>
    </row>
    <row r="62" spans="1:16" ht="15.75" thickBot="1" x14ac:dyDescent="0.3">
      <c r="A62" s="5"/>
      <c r="B62" s="5">
        <f t="shared" si="7"/>
        <v>84</v>
      </c>
      <c r="C62" s="5">
        <f t="shared" si="8"/>
        <v>1</v>
      </c>
      <c r="D62" s="97">
        <f t="shared" si="9"/>
        <v>44035</v>
      </c>
      <c r="E62" s="58">
        <f t="shared" si="10"/>
        <v>0.99993680775703275</v>
      </c>
      <c r="F62" s="59">
        <f t="shared" si="11"/>
        <v>2.4922200791328564E-2</v>
      </c>
      <c r="G62" s="64"/>
      <c r="H62" s="102"/>
      <c r="I62" s="14"/>
      <c r="J62" s="74"/>
      <c r="K62" s="19"/>
      <c r="L62" s="75"/>
      <c r="M62" s="68">
        <v>480</v>
      </c>
      <c r="N62" s="13" t="s">
        <v>168</v>
      </c>
      <c r="O62" s="12">
        <f>Inputs!E36/100</f>
        <v>5.1700000000000001E-3</v>
      </c>
      <c r="P62" s="10"/>
    </row>
    <row r="63" spans="1:16" x14ac:dyDescent="0.25">
      <c r="A63" s="5"/>
      <c r="B63" s="5">
        <f t="shared" si="7"/>
        <v>85</v>
      </c>
      <c r="C63" s="5">
        <f t="shared" si="8"/>
        <v>1</v>
      </c>
      <c r="D63" s="97">
        <f t="shared" si="9"/>
        <v>44036</v>
      </c>
      <c r="E63" s="58">
        <f t="shared" si="10"/>
        <v>0.99993611551790362</v>
      </c>
      <c r="F63" s="59">
        <f t="shared" si="11"/>
        <v>2.4922200791328564E-2</v>
      </c>
      <c r="G63" s="64"/>
      <c r="H63" s="102"/>
      <c r="I63" s="14"/>
      <c r="J63" s="74"/>
      <c r="K63" s="19"/>
      <c r="L63" s="75"/>
      <c r="M63" s="10"/>
      <c r="N63" s="10"/>
      <c r="O63" s="10"/>
      <c r="P63" s="10"/>
    </row>
    <row r="64" spans="1:16" x14ac:dyDescent="0.25">
      <c r="A64" s="5"/>
      <c r="B64" s="5">
        <f t="shared" si="7"/>
        <v>88</v>
      </c>
      <c r="C64" s="5">
        <f t="shared" si="8"/>
        <v>3</v>
      </c>
      <c r="D64" s="97">
        <f t="shared" si="9"/>
        <v>44039</v>
      </c>
      <c r="E64" s="58">
        <f t="shared" si="10"/>
        <v>0.99993403880482923</v>
      </c>
      <c r="F64" s="59">
        <f t="shared" si="11"/>
        <v>2.4922200791328564E-2</v>
      </c>
      <c r="G64" s="64"/>
      <c r="H64" s="102"/>
      <c r="I64" s="14"/>
      <c r="J64" s="74"/>
      <c r="K64" s="19"/>
      <c r="L64" s="75"/>
      <c r="M64" s="10"/>
      <c r="N64" s="10"/>
      <c r="O64" s="10"/>
      <c r="P64" s="10"/>
    </row>
    <row r="65" spans="1:16" x14ac:dyDescent="0.25">
      <c r="A65" s="5"/>
      <c r="B65" s="5">
        <f t="shared" si="7"/>
        <v>89</v>
      </c>
      <c r="C65" s="5">
        <f t="shared" si="8"/>
        <v>1</v>
      </c>
      <c r="D65" s="99">
        <f t="shared" si="9"/>
        <v>44040</v>
      </c>
      <c r="E65" s="58">
        <f t="shared" si="10"/>
        <v>0.99993334656761701</v>
      </c>
      <c r="F65" s="59">
        <f t="shared" si="11"/>
        <v>2.4922200791328564E-2</v>
      </c>
      <c r="G65" s="64"/>
      <c r="H65" s="102"/>
      <c r="I65" s="14" t="s">
        <v>3</v>
      </c>
      <c r="J65" s="74"/>
      <c r="K65" s="19"/>
      <c r="L65" s="75"/>
      <c r="M65" s="10"/>
      <c r="N65" s="10"/>
      <c r="O65" s="10"/>
      <c r="P65" s="10"/>
    </row>
    <row r="66" spans="1:16" x14ac:dyDescent="0.25">
      <c r="A66" s="5"/>
      <c r="B66" s="5">
        <f t="shared" si="7"/>
        <v>90</v>
      </c>
      <c r="C66" s="5">
        <f t="shared" si="8"/>
        <v>1</v>
      </c>
      <c r="D66" s="97">
        <f t="shared" si="9"/>
        <v>44041</v>
      </c>
      <c r="E66" s="58">
        <f t="shared" si="10"/>
        <v>0.99993265433088396</v>
      </c>
      <c r="F66" s="59">
        <f t="shared" si="11"/>
        <v>2.4922200791328564E-2</v>
      </c>
      <c r="G66" s="64"/>
      <c r="H66" s="102"/>
      <c r="I66" s="14"/>
      <c r="J66" s="74"/>
      <c r="K66" s="19"/>
      <c r="L66" s="75"/>
      <c r="M66" s="10"/>
      <c r="N66" s="10"/>
      <c r="O66" s="10"/>
      <c r="P66" s="10"/>
    </row>
    <row r="67" spans="1:16" x14ac:dyDescent="0.25">
      <c r="A67" s="5"/>
      <c r="B67" s="5">
        <f t="shared" si="7"/>
        <v>91</v>
      </c>
      <c r="C67" s="5">
        <f t="shared" ref="C67:C98" si="12">D67-D66</f>
        <v>1</v>
      </c>
      <c r="D67" s="97">
        <f t="shared" si="9"/>
        <v>44042</v>
      </c>
      <c r="E67" s="58">
        <f t="shared" si="10"/>
        <v>0.9999319620946302</v>
      </c>
      <c r="F67" s="59">
        <f t="shared" si="11"/>
        <v>2.4922200791328564E-2</v>
      </c>
      <c r="G67" s="64"/>
      <c r="H67" s="102"/>
      <c r="I67" s="14"/>
      <c r="J67" s="74"/>
      <c r="K67" s="19"/>
      <c r="L67" s="75"/>
      <c r="M67" s="10"/>
      <c r="N67" s="10"/>
      <c r="O67" s="10"/>
      <c r="P67" s="10"/>
    </row>
    <row r="68" spans="1:16" x14ac:dyDescent="0.25">
      <c r="A68" s="5"/>
      <c r="B68" s="5">
        <f t="shared" ref="B68:B131" si="13">D68-$D$2</f>
        <v>92</v>
      </c>
      <c r="C68" s="5">
        <f t="shared" ref="C68:C131" si="14">D68-D67</f>
        <v>1</v>
      </c>
      <c r="D68" s="97">
        <f t="shared" ref="D68:D131" si="15">WORKDAY(D67,1)</f>
        <v>44043</v>
      </c>
      <c r="E68" s="58">
        <f t="shared" ref="E68:E99" si="16">E67/(1+F68*C68/36000)</f>
        <v>0.99993126985885561</v>
      </c>
      <c r="F68" s="59">
        <f t="shared" si="11"/>
        <v>2.4922200791328564E-2</v>
      </c>
      <c r="G68" s="64"/>
      <c r="H68" s="102"/>
      <c r="I68" s="14"/>
      <c r="J68" s="74"/>
      <c r="K68" s="19"/>
      <c r="L68" s="75"/>
      <c r="M68" s="10"/>
      <c r="N68" s="10"/>
      <c r="O68" s="10"/>
      <c r="P68" s="10"/>
    </row>
    <row r="69" spans="1:16" x14ac:dyDescent="0.25">
      <c r="A69" s="5"/>
      <c r="B69" s="5">
        <f t="shared" si="13"/>
        <v>95</v>
      </c>
      <c r="C69" s="5">
        <f t="shared" si="14"/>
        <v>3</v>
      </c>
      <c r="D69" s="97">
        <f t="shared" si="15"/>
        <v>44046</v>
      </c>
      <c r="E69" s="58">
        <f t="shared" si="16"/>
        <v>0.99992919315584483</v>
      </c>
      <c r="F69" s="59">
        <f t="shared" ref="F69:F100" si="17">F68</f>
        <v>2.4922200791328564E-2</v>
      </c>
      <c r="G69" s="64"/>
      <c r="H69" s="102"/>
      <c r="I69" s="14"/>
      <c r="J69" s="74"/>
      <c r="K69" s="19"/>
      <c r="L69" s="75"/>
      <c r="M69" s="10"/>
      <c r="N69" s="10"/>
      <c r="O69" s="10"/>
      <c r="P69" s="10"/>
    </row>
    <row r="70" spans="1:16" x14ac:dyDescent="0.25">
      <c r="A70" s="5"/>
      <c r="B70" s="5">
        <f t="shared" si="13"/>
        <v>96</v>
      </c>
      <c r="C70" s="5">
        <f t="shared" si="14"/>
        <v>1</v>
      </c>
      <c r="D70" s="97">
        <f t="shared" si="15"/>
        <v>44047</v>
      </c>
      <c r="E70" s="58">
        <f t="shared" ref="E70:E133" si="18">E69/(1+F70*C70/36000)</f>
        <v>0.99992850092198715</v>
      </c>
      <c r="F70" s="59">
        <f t="shared" si="17"/>
        <v>2.4922200791328564E-2</v>
      </c>
      <c r="G70" s="64"/>
      <c r="H70" s="102"/>
      <c r="I70" s="14"/>
      <c r="J70" s="74"/>
      <c r="K70" s="19"/>
      <c r="L70" s="75"/>
      <c r="M70" s="10"/>
      <c r="N70" s="10"/>
      <c r="O70" s="10"/>
      <c r="P70" s="10"/>
    </row>
    <row r="71" spans="1:16" x14ac:dyDescent="0.25">
      <c r="A71" s="5"/>
      <c r="B71" s="5">
        <f t="shared" si="13"/>
        <v>97</v>
      </c>
      <c r="C71" s="5">
        <f t="shared" si="14"/>
        <v>1</v>
      </c>
      <c r="D71" s="97">
        <f t="shared" si="15"/>
        <v>44048</v>
      </c>
      <c r="E71" s="58">
        <f t="shared" si="18"/>
        <v>0.99992780868860864</v>
      </c>
      <c r="F71" s="59">
        <f t="shared" si="17"/>
        <v>2.4922200791328564E-2</v>
      </c>
      <c r="G71" s="64"/>
      <c r="H71" s="102"/>
      <c r="I71" s="14"/>
      <c r="J71" s="74"/>
      <c r="K71" s="19"/>
      <c r="L71" s="75"/>
      <c r="M71" s="10"/>
      <c r="N71" s="10"/>
      <c r="O71" s="10"/>
      <c r="P71" s="10"/>
    </row>
    <row r="72" spans="1:16" x14ac:dyDescent="0.25">
      <c r="A72" s="5"/>
      <c r="B72" s="5">
        <f t="shared" si="13"/>
        <v>98</v>
      </c>
      <c r="C72" s="5">
        <f t="shared" si="14"/>
        <v>1</v>
      </c>
      <c r="D72" s="97">
        <f t="shared" si="15"/>
        <v>44049</v>
      </c>
      <c r="E72" s="58">
        <f t="shared" si="18"/>
        <v>0.99992711645570942</v>
      </c>
      <c r="F72" s="59">
        <f t="shared" si="17"/>
        <v>2.4922200791328564E-2</v>
      </c>
      <c r="G72" s="64"/>
      <c r="H72" s="102"/>
      <c r="I72" s="14"/>
      <c r="J72" s="74"/>
      <c r="K72" s="19"/>
      <c r="L72" s="75"/>
      <c r="M72" s="10"/>
      <c r="N72" s="10"/>
      <c r="O72" s="10"/>
      <c r="P72" s="10"/>
    </row>
    <row r="73" spans="1:16" x14ac:dyDescent="0.25">
      <c r="A73" s="5"/>
      <c r="B73" s="5">
        <f t="shared" si="13"/>
        <v>99</v>
      </c>
      <c r="C73" s="5">
        <f t="shared" si="14"/>
        <v>1</v>
      </c>
      <c r="D73" s="97">
        <f t="shared" si="15"/>
        <v>44050</v>
      </c>
      <c r="E73" s="58">
        <f t="shared" si="18"/>
        <v>0.99992642422328937</v>
      </c>
      <c r="F73" s="59">
        <f t="shared" si="17"/>
        <v>2.4922200791328564E-2</v>
      </c>
      <c r="G73" s="64"/>
      <c r="H73" s="102"/>
      <c r="I73" s="14"/>
      <c r="J73" s="74"/>
      <c r="K73" s="19"/>
      <c r="L73" s="75"/>
      <c r="M73" s="10"/>
      <c r="N73" s="10"/>
      <c r="O73" s="10"/>
      <c r="P73" s="10"/>
    </row>
    <row r="74" spans="1:16" x14ac:dyDescent="0.25">
      <c r="A74" s="5"/>
      <c r="B74" s="5">
        <f t="shared" si="13"/>
        <v>102</v>
      </c>
      <c r="C74" s="5">
        <f t="shared" si="14"/>
        <v>3</v>
      </c>
      <c r="D74" s="97">
        <f t="shared" si="15"/>
        <v>44053</v>
      </c>
      <c r="E74" s="58">
        <f t="shared" si="18"/>
        <v>0.99992434753034232</v>
      </c>
      <c r="F74" s="59">
        <f t="shared" si="17"/>
        <v>2.4922200791328564E-2</v>
      </c>
      <c r="G74" s="64"/>
      <c r="H74" s="102"/>
      <c r="I74" s="14"/>
      <c r="J74" s="74"/>
      <c r="K74" s="19"/>
      <c r="L74" s="75"/>
      <c r="M74" s="10"/>
      <c r="N74" s="10"/>
      <c r="O74" s="10"/>
      <c r="P74" s="10"/>
    </row>
    <row r="75" spans="1:16" x14ac:dyDescent="0.25">
      <c r="A75" s="5"/>
      <c r="B75" s="5">
        <f t="shared" si="13"/>
        <v>103</v>
      </c>
      <c r="C75" s="5">
        <f t="shared" si="14"/>
        <v>1</v>
      </c>
      <c r="D75" s="97">
        <f t="shared" si="15"/>
        <v>44054</v>
      </c>
      <c r="E75" s="58">
        <f t="shared" si="18"/>
        <v>0.99992365529983918</v>
      </c>
      <c r="F75" s="59">
        <f t="shared" si="17"/>
        <v>2.4922200791328564E-2</v>
      </c>
      <c r="G75" s="64"/>
      <c r="H75" s="102"/>
      <c r="I75" s="14"/>
      <c r="J75" s="74"/>
      <c r="K75" s="19"/>
      <c r="L75" s="75"/>
      <c r="M75" s="10"/>
      <c r="N75" s="10"/>
      <c r="O75" s="10"/>
      <c r="P75" s="10"/>
    </row>
    <row r="76" spans="1:16" x14ac:dyDescent="0.25">
      <c r="A76" s="5"/>
      <c r="B76" s="5">
        <f t="shared" si="13"/>
        <v>104</v>
      </c>
      <c r="C76" s="5">
        <f t="shared" si="14"/>
        <v>1</v>
      </c>
      <c r="D76" s="97">
        <f t="shared" si="15"/>
        <v>44055</v>
      </c>
      <c r="E76" s="58">
        <f t="shared" si="18"/>
        <v>0.99992296306981521</v>
      </c>
      <c r="F76" s="59">
        <f t="shared" si="17"/>
        <v>2.4922200791328564E-2</v>
      </c>
      <c r="G76" s="64"/>
      <c r="H76" s="102"/>
      <c r="I76" s="14"/>
      <c r="J76" s="74"/>
      <c r="K76" s="19"/>
      <c r="L76" s="75"/>
      <c r="M76" s="10"/>
      <c r="N76" s="10"/>
      <c r="O76" s="10"/>
      <c r="P76" s="10"/>
    </row>
    <row r="77" spans="1:16" x14ac:dyDescent="0.25">
      <c r="A77" s="5"/>
      <c r="B77" s="5">
        <f t="shared" si="13"/>
        <v>105</v>
      </c>
      <c r="C77" s="5">
        <f t="shared" si="14"/>
        <v>1</v>
      </c>
      <c r="D77" s="97">
        <f t="shared" si="15"/>
        <v>44056</v>
      </c>
      <c r="E77" s="58">
        <f t="shared" si="18"/>
        <v>0.99992227084027052</v>
      </c>
      <c r="F77" s="59">
        <f t="shared" si="17"/>
        <v>2.4922200791328564E-2</v>
      </c>
      <c r="G77" s="64"/>
      <c r="H77" s="102"/>
      <c r="I77" s="14"/>
      <c r="J77" s="74"/>
      <c r="K77" s="19"/>
      <c r="L77" s="75"/>
      <c r="M77" s="10"/>
      <c r="N77" s="10"/>
      <c r="O77" s="10"/>
      <c r="P77" s="10"/>
    </row>
    <row r="78" spans="1:16" x14ac:dyDescent="0.25">
      <c r="A78" s="5"/>
      <c r="B78" s="5">
        <f t="shared" si="13"/>
        <v>106</v>
      </c>
      <c r="C78" s="5">
        <f t="shared" si="14"/>
        <v>1</v>
      </c>
      <c r="D78" s="97">
        <f t="shared" si="15"/>
        <v>44057</v>
      </c>
      <c r="E78" s="58">
        <f t="shared" si="18"/>
        <v>0.99992157861120501</v>
      </c>
      <c r="F78" s="59">
        <f t="shared" si="17"/>
        <v>2.4922200791328564E-2</v>
      </c>
      <c r="G78" s="64"/>
      <c r="H78" s="102"/>
      <c r="I78" s="14"/>
      <c r="J78" s="74"/>
      <c r="K78" s="19"/>
      <c r="L78" s="75"/>
      <c r="M78" s="10"/>
      <c r="N78" s="10"/>
      <c r="O78" s="10"/>
      <c r="P78" s="10"/>
    </row>
    <row r="79" spans="1:16" x14ac:dyDescent="0.25">
      <c r="A79" s="5"/>
      <c r="B79" s="5">
        <f t="shared" si="13"/>
        <v>109</v>
      </c>
      <c r="C79" s="5">
        <f t="shared" si="14"/>
        <v>3</v>
      </c>
      <c r="D79" s="97">
        <f t="shared" si="15"/>
        <v>44060</v>
      </c>
      <c r="E79" s="58">
        <f t="shared" si="18"/>
        <v>0.99991950192832146</v>
      </c>
      <c r="F79" s="59">
        <f t="shared" si="17"/>
        <v>2.4922200791328564E-2</v>
      </c>
      <c r="G79" s="64"/>
      <c r="H79" s="102"/>
      <c r="I79" s="14"/>
      <c r="J79" s="74"/>
      <c r="K79" s="19"/>
      <c r="L79" s="75"/>
      <c r="M79" s="10"/>
      <c r="N79" s="10"/>
      <c r="O79" s="10"/>
      <c r="P79" s="10"/>
    </row>
    <row r="80" spans="1:16" x14ac:dyDescent="0.25">
      <c r="A80" s="5"/>
      <c r="B80" s="5">
        <f t="shared" si="13"/>
        <v>110</v>
      </c>
      <c r="C80" s="5">
        <f t="shared" si="14"/>
        <v>1</v>
      </c>
      <c r="D80" s="97">
        <f t="shared" si="15"/>
        <v>44061</v>
      </c>
      <c r="E80" s="58">
        <f t="shared" si="18"/>
        <v>0.99991880970117286</v>
      </c>
      <c r="F80" s="59">
        <f t="shared" si="17"/>
        <v>2.4922200791328564E-2</v>
      </c>
      <c r="G80" s="64"/>
      <c r="H80" s="102"/>
      <c r="I80" s="14"/>
      <c r="J80" s="74"/>
      <c r="K80" s="19"/>
      <c r="L80" s="75"/>
      <c r="M80" s="10"/>
      <c r="N80" s="10"/>
      <c r="O80" s="10"/>
      <c r="P80" s="10"/>
    </row>
    <row r="81" spans="1:16" x14ac:dyDescent="0.25">
      <c r="A81" s="5"/>
      <c r="B81" s="5">
        <f t="shared" si="13"/>
        <v>111</v>
      </c>
      <c r="C81" s="5">
        <f t="shared" si="14"/>
        <v>1</v>
      </c>
      <c r="D81" s="97">
        <f t="shared" si="15"/>
        <v>44062</v>
      </c>
      <c r="E81" s="58">
        <f t="shared" si="18"/>
        <v>0.99991811747450343</v>
      </c>
      <c r="F81" s="59">
        <f t="shared" si="17"/>
        <v>2.4922200791328564E-2</v>
      </c>
      <c r="G81" s="64"/>
      <c r="H81" s="102"/>
      <c r="I81" s="14"/>
      <c r="J81" s="74"/>
      <c r="K81" s="19"/>
      <c r="L81" s="75"/>
      <c r="M81" s="10"/>
      <c r="N81" s="10"/>
      <c r="O81" s="10"/>
      <c r="P81" s="10"/>
    </row>
    <row r="82" spans="1:16" x14ac:dyDescent="0.25">
      <c r="A82" s="5"/>
      <c r="B82" s="5">
        <f t="shared" si="13"/>
        <v>112</v>
      </c>
      <c r="C82" s="5">
        <f t="shared" si="14"/>
        <v>1</v>
      </c>
      <c r="D82" s="97">
        <f t="shared" si="15"/>
        <v>44063</v>
      </c>
      <c r="E82" s="58">
        <f t="shared" si="18"/>
        <v>0.99991742524831329</v>
      </c>
      <c r="F82" s="59">
        <f t="shared" si="17"/>
        <v>2.4922200791328564E-2</v>
      </c>
      <c r="G82" s="64"/>
      <c r="H82" s="102"/>
      <c r="I82" s="14"/>
      <c r="J82" s="74"/>
      <c r="K82" s="19"/>
      <c r="L82" s="75"/>
      <c r="M82" s="10"/>
      <c r="N82" s="10"/>
      <c r="O82" s="10"/>
      <c r="P82" s="10"/>
    </row>
    <row r="83" spans="1:16" x14ac:dyDescent="0.25">
      <c r="A83" s="5"/>
      <c r="B83" s="5">
        <f t="shared" si="13"/>
        <v>113</v>
      </c>
      <c r="C83" s="5">
        <f t="shared" si="14"/>
        <v>1</v>
      </c>
      <c r="D83" s="97">
        <f t="shared" si="15"/>
        <v>44064</v>
      </c>
      <c r="E83" s="58">
        <f t="shared" si="18"/>
        <v>0.99991673302260231</v>
      </c>
      <c r="F83" s="59">
        <f t="shared" si="17"/>
        <v>2.4922200791328564E-2</v>
      </c>
      <c r="G83" s="64"/>
      <c r="H83" s="102"/>
      <c r="I83" s="14"/>
      <c r="J83" s="74"/>
      <c r="K83" s="19"/>
      <c r="L83" s="75"/>
      <c r="M83" s="10"/>
      <c r="N83" s="10"/>
      <c r="O83" s="10"/>
      <c r="P83" s="10"/>
    </row>
    <row r="84" spans="1:16" x14ac:dyDescent="0.25">
      <c r="A84" s="5"/>
      <c r="B84" s="5">
        <f t="shared" si="13"/>
        <v>116</v>
      </c>
      <c r="C84" s="5">
        <f t="shared" si="14"/>
        <v>3</v>
      </c>
      <c r="D84" s="97">
        <f t="shared" si="15"/>
        <v>44067</v>
      </c>
      <c r="E84" s="58">
        <f t="shared" si="18"/>
        <v>0.99991465634978238</v>
      </c>
      <c r="F84" s="59">
        <f t="shared" si="17"/>
        <v>2.4922200791328564E-2</v>
      </c>
      <c r="G84" s="64"/>
      <c r="H84" s="102"/>
      <c r="I84" s="14"/>
      <c r="J84" s="74"/>
      <c r="K84" s="19"/>
      <c r="L84" s="75"/>
      <c r="M84" s="10"/>
      <c r="N84" s="10"/>
      <c r="O84" s="10"/>
      <c r="P84" s="10"/>
    </row>
    <row r="85" spans="1:16" x14ac:dyDescent="0.25">
      <c r="A85" s="5"/>
      <c r="B85" s="5">
        <f t="shared" si="13"/>
        <v>117</v>
      </c>
      <c r="C85" s="5">
        <f t="shared" si="14"/>
        <v>1</v>
      </c>
      <c r="D85" s="97">
        <f t="shared" si="15"/>
        <v>44068</v>
      </c>
      <c r="E85" s="58">
        <f t="shared" si="18"/>
        <v>0.99991396412598832</v>
      </c>
      <c r="F85" s="59">
        <f t="shared" si="17"/>
        <v>2.4922200791328564E-2</v>
      </c>
      <c r="G85" s="64"/>
      <c r="H85" s="102"/>
      <c r="I85" s="14"/>
      <c r="J85" s="74"/>
      <c r="K85" s="19"/>
      <c r="L85" s="75"/>
      <c r="M85" s="10"/>
      <c r="N85" s="10"/>
      <c r="O85" s="10"/>
      <c r="P85" s="10"/>
    </row>
    <row r="86" spans="1:16" x14ac:dyDescent="0.25">
      <c r="A86" s="5"/>
      <c r="B86" s="5">
        <f t="shared" si="13"/>
        <v>118</v>
      </c>
      <c r="C86" s="5">
        <f t="shared" si="14"/>
        <v>1</v>
      </c>
      <c r="D86" s="97">
        <f t="shared" si="15"/>
        <v>44069</v>
      </c>
      <c r="E86" s="58">
        <f t="shared" si="18"/>
        <v>0.99991327190267343</v>
      </c>
      <c r="F86" s="59">
        <f t="shared" si="17"/>
        <v>2.4922200791328564E-2</v>
      </c>
      <c r="G86" s="64"/>
      <c r="H86" s="102"/>
      <c r="I86" s="14"/>
      <c r="J86" s="74"/>
      <c r="K86" s="19"/>
      <c r="L86" s="75"/>
      <c r="M86" s="10"/>
      <c r="N86" s="10"/>
      <c r="O86" s="10"/>
      <c r="P86" s="10"/>
    </row>
    <row r="87" spans="1:16" x14ac:dyDescent="0.25">
      <c r="A87" s="5"/>
      <c r="B87" s="5">
        <f t="shared" si="13"/>
        <v>119</v>
      </c>
      <c r="C87" s="5">
        <f t="shared" si="14"/>
        <v>1</v>
      </c>
      <c r="D87" s="97">
        <f t="shared" si="15"/>
        <v>44070</v>
      </c>
      <c r="E87" s="58">
        <f t="shared" si="18"/>
        <v>0.99991257967983771</v>
      </c>
      <c r="F87" s="59">
        <f t="shared" si="17"/>
        <v>2.4922200791328564E-2</v>
      </c>
      <c r="G87" s="64"/>
      <c r="H87" s="102"/>
      <c r="I87" s="14"/>
      <c r="J87" s="74"/>
      <c r="K87" s="19"/>
      <c r="L87" s="75"/>
      <c r="M87" s="10"/>
      <c r="N87" s="10"/>
      <c r="O87" s="10"/>
      <c r="P87" s="10"/>
    </row>
    <row r="88" spans="1:16" x14ac:dyDescent="0.25">
      <c r="A88" s="5"/>
      <c r="B88" s="5">
        <f t="shared" si="13"/>
        <v>120</v>
      </c>
      <c r="C88" s="5">
        <f t="shared" si="14"/>
        <v>1</v>
      </c>
      <c r="D88" s="97">
        <f t="shared" si="15"/>
        <v>44071</v>
      </c>
      <c r="E88" s="58">
        <f t="shared" si="18"/>
        <v>0.99991188745748127</v>
      </c>
      <c r="F88" s="59">
        <f t="shared" si="17"/>
        <v>2.4922200791328564E-2</v>
      </c>
      <c r="G88" s="64"/>
      <c r="H88" s="102"/>
      <c r="I88" s="14"/>
      <c r="J88" s="74"/>
      <c r="K88" s="19"/>
      <c r="L88" s="75"/>
      <c r="M88" s="10"/>
      <c r="N88" s="10"/>
      <c r="O88" s="10"/>
      <c r="P88" s="10"/>
    </row>
    <row r="89" spans="1:16" x14ac:dyDescent="0.25">
      <c r="A89" s="5"/>
      <c r="B89" s="5">
        <f t="shared" si="13"/>
        <v>123</v>
      </c>
      <c r="C89" s="5">
        <f t="shared" si="14"/>
        <v>3</v>
      </c>
      <c r="D89" s="97">
        <f t="shared" si="15"/>
        <v>44074</v>
      </c>
      <c r="E89" s="58">
        <f t="shared" si="18"/>
        <v>0.99990981079472485</v>
      </c>
      <c r="F89" s="59">
        <f t="shared" si="17"/>
        <v>2.4922200791328564E-2</v>
      </c>
      <c r="G89" s="64"/>
      <c r="H89" s="102"/>
      <c r="I89" s="14"/>
      <c r="J89" s="74"/>
      <c r="K89" s="19"/>
      <c r="L89" s="75"/>
      <c r="M89" s="10"/>
      <c r="N89" s="10"/>
      <c r="O89" s="10"/>
      <c r="P89" s="10"/>
    </row>
    <row r="90" spans="1:16" x14ac:dyDescent="0.25">
      <c r="A90" s="5"/>
      <c r="B90" s="5">
        <f t="shared" si="13"/>
        <v>124</v>
      </c>
      <c r="C90" s="5">
        <f t="shared" si="14"/>
        <v>1</v>
      </c>
      <c r="D90" s="97">
        <f t="shared" si="15"/>
        <v>44075</v>
      </c>
      <c r="E90" s="58">
        <f t="shared" si="18"/>
        <v>0.99990911857428522</v>
      </c>
      <c r="F90" s="59">
        <f t="shared" si="17"/>
        <v>2.4922200791328564E-2</v>
      </c>
      <c r="G90" s="64"/>
      <c r="H90" s="102"/>
      <c r="I90" s="14"/>
      <c r="J90" s="74"/>
      <c r="K90" s="19"/>
      <c r="L90" s="75"/>
      <c r="M90" s="10"/>
      <c r="N90" s="10"/>
      <c r="O90" s="10"/>
      <c r="P90" s="10"/>
    </row>
    <row r="91" spans="1:16" x14ac:dyDescent="0.25">
      <c r="A91" s="5"/>
      <c r="B91" s="5">
        <f t="shared" si="13"/>
        <v>125</v>
      </c>
      <c r="C91" s="5">
        <f t="shared" si="14"/>
        <v>1</v>
      </c>
      <c r="D91" s="97">
        <f t="shared" si="15"/>
        <v>44076</v>
      </c>
      <c r="E91" s="58">
        <f t="shared" si="18"/>
        <v>0.99990842635432486</v>
      </c>
      <c r="F91" s="59">
        <f t="shared" si="17"/>
        <v>2.4922200791328564E-2</v>
      </c>
      <c r="G91" s="64"/>
      <c r="H91" s="102"/>
      <c r="I91" s="14"/>
      <c r="J91" s="74"/>
      <c r="K91" s="19"/>
      <c r="L91" s="75"/>
      <c r="M91" s="10"/>
      <c r="N91" s="10"/>
      <c r="O91" s="10"/>
      <c r="P91" s="10"/>
    </row>
    <row r="92" spans="1:16" x14ac:dyDescent="0.25">
      <c r="A92" s="5"/>
      <c r="B92" s="5">
        <f t="shared" si="13"/>
        <v>126</v>
      </c>
      <c r="C92" s="5">
        <f t="shared" si="14"/>
        <v>1</v>
      </c>
      <c r="D92" s="97">
        <f t="shared" si="15"/>
        <v>44077</v>
      </c>
      <c r="E92" s="58">
        <f t="shared" si="18"/>
        <v>0.99990773413484368</v>
      </c>
      <c r="F92" s="59">
        <f t="shared" si="17"/>
        <v>2.4922200791328564E-2</v>
      </c>
      <c r="G92" s="64"/>
      <c r="H92" s="102"/>
      <c r="I92" s="14"/>
      <c r="J92" s="74"/>
      <c r="K92" s="19"/>
      <c r="L92" s="75"/>
      <c r="M92" s="10"/>
      <c r="N92" s="10"/>
      <c r="O92" s="10"/>
      <c r="P92" s="10"/>
    </row>
    <row r="93" spans="1:16" x14ac:dyDescent="0.25">
      <c r="A93" s="5"/>
      <c r="B93" s="5">
        <f t="shared" si="13"/>
        <v>127</v>
      </c>
      <c r="C93" s="5">
        <f t="shared" si="14"/>
        <v>1</v>
      </c>
      <c r="D93" s="97">
        <f t="shared" si="15"/>
        <v>44078</v>
      </c>
      <c r="E93" s="58">
        <f t="shared" si="18"/>
        <v>0.99990704191584168</v>
      </c>
      <c r="F93" s="59">
        <f t="shared" si="17"/>
        <v>2.4922200791328564E-2</v>
      </c>
      <c r="G93" s="64"/>
      <c r="H93" s="102"/>
      <c r="I93" s="14"/>
      <c r="J93" s="74"/>
      <c r="K93" s="19"/>
      <c r="L93" s="75"/>
      <c r="M93" s="10"/>
      <c r="N93" s="10"/>
      <c r="O93" s="10"/>
      <c r="P93" s="10"/>
    </row>
    <row r="94" spans="1:16" x14ac:dyDescent="0.25">
      <c r="A94" s="5"/>
      <c r="B94" s="5">
        <f t="shared" si="13"/>
        <v>130</v>
      </c>
      <c r="C94" s="5">
        <f t="shared" si="14"/>
        <v>3</v>
      </c>
      <c r="D94" s="97">
        <f t="shared" si="15"/>
        <v>44081</v>
      </c>
      <c r="E94" s="58">
        <f t="shared" si="18"/>
        <v>0.99990496526314865</v>
      </c>
      <c r="F94" s="59">
        <f t="shared" si="17"/>
        <v>2.4922200791328564E-2</v>
      </c>
      <c r="G94" s="64"/>
      <c r="H94" s="102"/>
      <c r="I94" s="14"/>
      <c r="J94" s="74"/>
      <c r="K94" s="19"/>
      <c r="L94" s="75"/>
      <c r="M94" s="10"/>
      <c r="N94" s="10"/>
      <c r="O94" s="10"/>
      <c r="P94" s="10"/>
    </row>
    <row r="95" spans="1:16" x14ac:dyDescent="0.25">
      <c r="A95" s="5"/>
      <c r="B95" s="5">
        <f t="shared" si="13"/>
        <v>131</v>
      </c>
      <c r="C95" s="5">
        <f t="shared" si="14"/>
        <v>1</v>
      </c>
      <c r="D95" s="97">
        <f t="shared" si="15"/>
        <v>44082</v>
      </c>
      <c r="E95" s="58">
        <f t="shared" si="18"/>
        <v>0.99990427304606355</v>
      </c>
      <c r="F95" s="59">
        <f t="shared" si="17"/>
        <v>2.4922200791328564E-2</v>
      </c>
      <c r="G95" s="64"/>
      <c r="H95" s="102"/>
      <c r="I95" s="14"/>
      <c r="J95" s="74"/>
      <c r="K95" s="19"/>
      <c r="L95" s="75"/>
      <c r="M95" s="10"/>
      <c r="N95" s="10"/>
      <c r="O95" s="10"/>
      <c r="P95" s="10"/>
    </row>
    <row r="96" spans="1:16" x14ac:dyDescent="0.25">
      <c r="A96" s="5"/>
      <c r="B96" s="5">
        <f t="shared" si="13"/>
        <v>132</v>
      </c>
      <c r="C96" s="5">
        <f t="shared" si="14"/>
        <v>1</v>
      </c>
      <c r="D96" s="97">
        <f t="shared" si="15"/>
        <v>44083</v>
      </c>
      <c r="E96" s="58">
        <f t="shared" si="18"/>
        <v>0.99990358082945763</v>
      </c>
      <c r="F96" s="59">
        <f t="shared" si="17"/>
        <v>2.4922200791328564E-2</v>
      </c>
      <c r="G96" s="64"/>
      <c r="H96" s="102"/>
      <c r="I96" s="14"/>
      <c r="J96" s="74"/>
      <c r="K96" s="19"/>
      <c r="L96" s="75"/>
      <c r="M96" s="10"/>
      <c r="N96" s="10"/>
      <c r="O96" s="10"/>
      <c r="P96" s="10"/>
    </row>
    <row r="97" spans="1:16" x14ac:dyDescent="0.25">
      <c r="A97" s="5"/>
      <c r="B97" s="5">
        <f t="shared" si="13"/>
        <v>133</v>
      </c>
      <c r="C97" s="5">
        <f t="shared" si="14"/>
        <v>1</v>
      </c>
      <c r="D97" s="97">
        <f t="shared" si="15"/>
        <v>44084</v>
      </c>
      <c r="E97" s="58">
        <f t="shared" si="18"/>
        <v>0.99990288861333088</v>
      </c>
      <c r="F97" s="59">
        <f t="shared" si="17"/>
        <v>2.4922200791328564E-2</v>
      </c>
      <c r="G97" s="64"/>
      <c r="H97" s="102"/>
      <c r="I97" s="14"/>
      <c r="J97" s="74"/>
      <c r="K97" s="19"/>
      <c r="L97" s="75"/>
      <c r="M97" s="10"/>
      <c r="N97" s="10"/>
      <c r="O97" s="10"/>
      <c r="P97" s="10"/>
    </row>
    <row r="98" spans="1:16" x14ac:dyDescent="0.25">
      <c r="A98" s="5"/>
      <c r="B98" s="5">
        <f t="shared" si="13"/>
        <v>134</v>
      </c>
      <c r="C98" s="5">
        <f t="shared" si="14"/>
        <v>1</v>
      </c>
      <c r="D98" s="97">
        <f t="shared" si="15"/>
        <v>44085</v>
      </c>
      <c r="E98" s="58">
        <f t="shared" si="18"/>
        <v>0.99990219639768341</v>
      </c>
      <c r="F98" s="59">
        <f t="shared" si="17"/>
        <v>2.4922200791328564E-2</v>
      </c>
      <c r="G98" s="64"/>
      <c r="H98" s="102"/>
      <c r="I98" s="14"/>
      <c r="J98" s="74"/>
      <c r="K98" s="19"/>
      <c r="L98" s="75"/>
      <c r="M98" s="10"/>
      <c r="N98" s="10"/>
      <c r="O98" s="10"/>
      <c r="P98" s="10"/>
    </row>
    <row r="99" spans="1:16" x14ac:dyDescent="0.25">
      <c r="A99" s="5"/>
      <c r="B99" s="5">
        <f t="shared" si="13"/>
        <v>137</v>
      </c>
      <c r="C99" s="5">
        <f t="shared" si="14"/>
        <v>3</v>
      </c>
      <c r="D99" s="97">
        <f t="shared" si="15"/>
        <v>44088</v>
      </c>
      <c r="E99" s="58">
        <f t="shared" si="18"/>
        <v>0.99990011975505377</v>
      </c>
      <c r="F99" s="59">
        <f t="shared" si="17"/>
        <v>2.4922200791328564E-2</v>
      </c>
      <c r="G99" s="64"/>
      <c r="H99" s="102"/>
      <c r="I99" s="14"/>
      <c r="J99" s="74"/>
      <c r="K99" s="19"/>
      <c r="L99" s="75"/>
      <c r="M99" s="10"/>
      <c r="N99" s="10"/>
      <c r="O99" s="10"/>
      <c r="P99" s="10"/>
    </row>
    <row r="100" spans="1:16" x14ac:dyDescent="0.25">
      <c r="A100" s="5"/>
      <c r="B100" s="5">
        <f t="shared" si="13"/>
        <v>138</v>
      </c>
      <c r="C100" s="5">
        <f t="shared" si="14"/>
        <v>1</v>
      </c>
      <c r="D100" s="99">
        <f t="shared" si="15"/>
        <v>44089</v>
      </c>
      <c r="E100" s="58">
        <f t="shared" si="18"/>
        <v>0.9998994275413231</v>
      </c>
      <c r="F100" s="59">
        <f t="shared" si="17"/>
        <v>2.4922200791328564E-2</v>
      </c>
      <c r="G100" s="64"/>
      <c r="H100" s="103">
        <f>(1+F100/36000)^(B100-B35)</f>
        <v>1.0000629997479265</v>
      </c>
      <c r="I100" s="14" t="s">
        <v>4</v>
      </c>
      <c r="J100" s="79" t="s">
        <v>11</v>
      </c>
      <c r="K100" s="80" t="s">
        <v>181</v>
      </c>
      <c r="L100" s="81" t="s">
        <v>177</v>
      </c>
      <c r="M100" s="10"/>
      <c r="N100" s="10"/>
      <c r="O100" s="10"/>
      <c r="P100" s="10"/>
    </row>
    <row r="101" spans="1:16" x14ac:dyDescent="0.25">
      <c r="A101" s="5"/>
      <c r="B101" s="5">
        <f t="shared" si="13"/>
        <v>139</v>
      </c>
      <c r="C101" s="5">
        <f t="shared" si="14"/>
        <v>1</v>
      </c>
      <c r="D101" s="101">
        <f t="shared" si="15"/>
        <v>44090</v>
      </c>
      <c r="E101" s="58">
        <f t="shared" si="18"/>
        <v>0.99989859740155329</v>
      </c>
      <c r="F101" s="59">
        <f>L101</f>
        <v>2.9888062439056284E-2</v>
      </c>
      <c r="G101" s="64"/>
      <c r="H101" s="102"/>
      <c r="I101" s="14"/>
      <c r="J101" s="74"/>
      <c r="K101" s="19">
        <f>100-O42</f>
        <v>3.0000000000001137E-2</v>
      </c>
      <c r="L101" s="73">
        <f>((K101*91/360+1)^(1/91)-1)*360</f>
        <v>2.9888062439056284E-2</v>
      </c>
      <c r="M101" s="10"/>
      <c r="N101" s="10"/>
      <c r="O101" s="10"/>
      <c r="P101" s="10"/>
    </row>
    <row r="102" spans="1:16" x14ac:dyDescent="0.25">
      <c r="A102" s="5"/>
      <c r="B102" s="5">
        <f t="shared" si="13"/>
        <v>140</v>
      </c>
      <c r="C102" s="5">
        <f t="shared" si="14"/>
        <v>1</v>
      </c>
      <c r="D102" s="97">
        <f t="shared" si="15"/>
        <v>44091</v>
      </c>
      <c r="E102" s="58">
        <f t="shared" si="18"/>
        <v>0.9998977672624727</v>
      </c>
      <c r="F102" s="59">
        <f>F101</f>
        <v>2.9888062439056284E-2</v>
      </c>
      <c r="G102" s="64"/>
      <c r="H102" s="102"/>
      <c r="I102" s="14"/>
      <c r="J102" s="74"/>
      <c r="K102" s="19"/>
      <c r="L102" s="75"/>
      <c r="M102" s="10"/>
      <c r="N102" s="10"/>
      <c r="O102" s="10"/>
      <c r="P102" s="10"/>
    </row>
    <row r="103" spans="1:16" x14ac:dyDescent="0.25">
      <c r="A103" s="5"/>
      <c r="B103" s="5">
        <f t="shared" si="13"/>
        <v>141</v>
      </c>
      <c r="C103" s="5">
        <f t="shared" si="14"/>
        <v>1</v>
      </c>
      <c r="D103" s="97">
        <f t="shared" si="15"/>
        <v>44092</v>
      </c>
      <c r="E103" s="58">
        <f t="shared" si="18"/>
        <v>0.99989693712408123</v>
      </c>
      <c r="F103" s="59">
        <f t="shared" ref="F103:F165" si="19">F102</f>
        <v>2.9888062439056284E-2</v>
      </c>
      <c r="G103" s="64"/>
      <c r="H103" s="102"/>
      <c r="I103" s="14"/>
      <c r="J103" s="74"/>
      <c r="K103" s="19"/>
      <c r="L103" s="75"/>
      <c r="M103" s="10"/>
      <c r="N103" s="10"/>
      <c r="O103" s="10"/>
      <c r="P103" s="10"/>
    </row>
    <row r="104" spans="1:16" x14ac:dyDescent="0.25">
      <c r="A104" s="5"/>
      <c r="B104" s="5">
        <f t="shared" si="13"/>
        <v>144</v>
      </c>
      <c r="C104" s="5">
        <f t="shared" si="14"/>
        <v>3</v>
      </c>
      <c r="D104" s="97">
        <f t="shared" si="15"/>
        <v>44095</v>
      </c>
      <c r="E104" s="58">
        <f t="shared" si="18"/>
        <v>0.99989444671510996</v>
      </c>
      <c r="F104" s="59">
        <f t="shared" si="19"/>
        <v>2.9888062439056284E-2</v>
      </c>
      <c r="G104" s="64"/>
      <c r="H104" s="102"/>
      <c r="I104" s="14"/>
      <c r="J104" s="74"/>
      <c r="K104" s="19"/>
      <c r="L104" s="75"/>
      <c r="M104" s="10"/>
      <c r="N104" s="7"/>
      <c r="O104" s="7"/>
      <c r="P104" s="7"/>
    </row>
    <row r="105" spans="1:16" x14ac:dyDescent="0.25">
      <c r="A105" s="14"/>
      <c r="B105" s="5">
        <f t="shared" si="13"/>
        <v>145</v>
      </c>
      <c r="C105" s="5">
        <f t="shared" si="14"/>
        <v>1</v>
      </c>
      <c r="D105" s="104">
        <f t="shared" si="15"/>
        <v>44096</v>
      </c>
      <c r="E105" s="58">
        <f t="shared" si="18"/>
        <v>0.99989361657947529</v>
      </c>
      <c r="F105" s="59">
        <f t="shared" si="19"/>
        <v>2.9888062439056284E-2</v>
      </c>
      <c r="G105" s="64"/>
      <c r="H105" s="102"/>
      <c r="I105" s="14"/>
      <c r="J105" s="74"/>
      <c r="K105" s="82"/>
      <c r="L105" s="83"/>
      <c r="M105" s="7"/>
      <c r="N105" s="10"/>
      <c r="O105" s="10"/>
      <c r="P105" s="10"/>
    </row>
    <row r="106" spans="1:16" x14ac:dyDescent="0.25">
      <c r="A106" s="5"/>
      <c r="B106" s="5">
        <f t="shared" si="13"/>
        <v>146</v>
      </c>
      <c r="C106" s="5">
        <f t="shared" si="14"/>
        <v>1</v>
      </c>
      <c r="D106" s="97">
        <f t="shared" si="15"/>
        <v>44097</v>
      </c>
      <c r="E106" s="58">
        <f t="shared" si="18"/>
        <v>0.99989278644452984</v>
      </c>
      <c r="F106" s="59">
        <f t="shared" si="19"/>
        <v>2.9888062439056284E-2</v>
      </c>
      <c r="G106" s="64"/>
      <c r="H106" s="102"/>
      <c r="I106" s="14"/>
      <c r="J106" s="74"/>
      <c r="K106" s="19"/>
      <c r="L106" s="75"/>
      <c r="M106" s="10"/>
      <c r="N106" s="10"/>
      <c r="O106" s="10"/>
      <c r="P106" s="10"/>
    </row>
    <row r="107" spans="1:16" x14ac:dyDescent="0.25">
      <c r="A107" s="5"/>
      <c r="B107" s="5">
        <f t="shared" si="13"/>
        <v>147</v>
      </c>
      <c r="C107" s="5">
        <f t="shared" si="14"/>
        <v>1</v>
      </c>
      <c r="D107" s="97">
        <f t="shared" si="15"/>
        <v>44098</v>
      </c>
      <c r="E107" s="58">
        <f t="shared" si="18"/>
        <v>0.99989195631027361</v>
      </c>
      <c r="F107" s="59">
        <f t="shared" si="19"/>
        <v>2.9888062439056284E-2</v>
      </c>
      <c r="G107" s="64"/>
      <c r="H107" s="102"/>
      <c r="I107" s="14"/>
      <c r="J107" s="74"/>
      <c r="K107" s="19"/>
      <c r="L107" s="75"/>
      <c r="M107" s="10"/>
      <c r="N107" s="10"/>
      <c r="O107" s="10"/>
      <c r="P107" s="10"/>
    </row>
    <row r="108" spans="1:16" x14ac:dyDescent="0.25">
      <c r="A108" s="5"/>
      <c r="B108" s="5">
        <f t="shared" si="13"/>
        <v>148</v>
      </c>
      <c r="C108" s="5">
        <f t="shared" si="14"/>
        <v>1</v>
      </c>
      <c r="D108" s="97">
        <f t="shared" si="15"/>
        <v>44099</v>
      </c>
      <c r="E108" s="58">
        <f t="shared" si="18"/>
        <v>0.99989112617670661</v>
      </c>
      <c r="F108" s="59">
        <f t="shared" si="19"/>
        <v>2.9888062439056284E-2</v>
      </c>
      <c r="G108" s="64"/>
      <c r="H108" s="102"/>
      <c r="I108" s="14"/>
      <c r="J108" s="74"/>
      <c r="K108" s="19"/>
      <c r="L108" s="75"/>
      <c r="M108" s="10"/>
      <c r="N108" s="10"/>
      <c r="O108" s="10"/>
      <c r="P108" s="10"/>
    </row>
    <row r="109" spans="1:16" x14ac:dyDescent="0.25">
      <c r="A109" s="5"/>
      <c r="B109" s="5">
        <f t="shared" si="13"/>
        <v>151</v>
      </c>
      <c r="C109" s="5">
        <f t="shared" si="14"/>
        <v>3</v>
      </c>
      <c r="D109" s="97">
        <f t="shared" si="15"/>
        <v>44102</v>
      </c>
      <c r="E109" s="58">
        <f t="shared" si="18"/>
        <v>0.99988863578220843</v>
      </c>
      <c r="F109" s="59">
        <f t="shared" si="19"/>
        <v>2.9888062439056284E-2</v>
      </c>
      <c r="G109" s="64"/>
      <c r="H109" s="102"/>
      <c r="I109" s="14"/>
      <c r="J109" s="74"/>
      <c r="K109" s="19"/>
      <c r="L109" s="75"/>
      <c r="M109" s="10"/>
      <c r="N109" s="10"/>
      <c r="O109" s="10"/>
      <c r="P109" s="10"/>
    </row>
    <row r="110" spans="1:16" x14ac:dyDescent="0.25">
      <c r="A110" s="5"/>
      <c r="B110" s="5">
        <f t="shared" si="13"/>
        <v>152</v>
      </c>
      <c r="C110" s="5">
        <f t="shared" si="14"/>
        <v>1</v>
      </c>
      <c r="D110" s="97">
        <f t="shared" si="15"/>
        <v>44103</v>
      </c>
      <c r="E110" s="58">
        <f t="shared" si="18"/>
        <v>0.99988780565139823</v>
      </c>
      <c r="F110" s="59">
        <f t="shared" si="19"/>
        <v>2.9888062439056284E-2</v>
      </c>
      <c r="G110" s="64"/>
      <c r="H110" s="102"/>
      <c r="I110" s="14"/>
      <c r="J110" s="74"/>
      <c r="K110" s="19"/>
      <c r="L110" s="75"/>
      <c r="M110" s="10"/>
      <c r="N110" s="10"/>
      <c r="O110" s="10"/>
      <c r="P110" s="10"/>
    </row>
    <row r="111" spans="1:16" x14ac:dyDescent="0.25">
      <c r="A111" s="5"/>
      <c r="B111" s="5">
        <f t="shared" si="13"/>
        <v>153</v>
      </c>
      <c r="C111" s="5">
        <f t="shared" si="14"/>
        <v>1</v>
      </c>
      <c r="D111" s="97">
        <f t="shared" si="15"/>
        <v>44104</v>
      </c>
      <c r="E111" s="58">
        <f t="shared" si="18"/>
        <v>0.99988697552127714</v>
      </c>
      <c r="F111" s="59">
        <f t="shared" si="19"/>
        <v>2.9888062439056284E-2</v>
      </c>
      <c r="G111" s="64"/>
      <c r="H111" s="102"/>
      <c r="I111" s="14"/>
      <c r="J111" s="74"/>
      <c r="K111" s="19"/>
      <c r="L111" s="75"/>
      <c r="M111" s="10"/>
      <c r="N111" s="10"/>
      <c r="O111" s="10"/>
      <c r="P111" s="10"/>
    </row>
    <row r="112" spans="1:16" x14ac:dyDescent="0.25">
      <c r="A112" s="5"/>
      <c r="B112" s="5">
        <f t="shared" si="13"/>
        <v>154</v>
      </c>
      <c r="C112" s="5">
        <f t="shared" si="14"/>
        <v>1</v>
      </c>
      <c r="D112" s="97">
        <f t="shared" si="15"/>
        <v>44105</v>
      </c>
      <c r="E112" s="58">
        <f t="shared" si="18"/>
        <v>0.99988614539184528</v>
      </c>
      <c r="F112" s="59">
        <f t="shared" si="19"/>
        <v>2.9888062439056284E-2</v>
      </c>
      <c r="G112" s="64"/>
      <c r="H112" s="102"/>
      <c r="I112" s="14"/>
      <c r="J112" s="74"/>
      <c r="K112" s="19"/>
      <c r="L112" s="75"/>
      <c r="M112" s="10"/>
      <c r="N112" s="10"/>
      <c r="O112" s="10"/>
      <c r="P112" s="10"/>
    </row>
    <row r="113" spans="1:16" x14ac:dyDescent="0.25">
      <c r="A113" s="5"/>
      <c r="B113" s="5">
        <f t="shared" si="13"/>
        <v>155</v>
      </c>
      <c r="C113" s="5">
        <f t="shared" si="14"/>
        <v>1</v>
      </c>
      <c r="D113" s="97">
        <f t="shared" si="15"/>
        <v>44106</v>
      </c>
      <c r="E113" s="58">
        <f t="shared" si="18"/>
        <v>0.99988531526310265</v>
      </c>
      <c r="F113" s="59">
        <f t="shared" si="19"/>
        <v>2.9888062439056284E-2</v>
      </c>
      <c r="G113" s="64"/>
      <c r="H113" s="102"/>
      <c r="I113" s="14"/>
      <c r="J113" s="74"/>
      <c r="K113" s="19"/>
      <c r="L113" s="75"/>
      <c r="M113" s="10"/>
      <c r="N113" s="10"/>
      <c r="O113" s="10"/>
      <c r="P113" s="10"/>
    </row>
    <row r="114" spans="1:16" x14ac:dyDescent="0.25">
      <c r="A114" s="5"/>
      <c r="B114" s="5">
        <f t="shared" si="13"/>
        <v>158</v>
      </c>
      <c r="C114" s="5">
        <f t="shared" si="14"/>
        <v>3</v>
      </c>
      <c r="D114" s="97">
        <f t="shared" si="15"/>
        <v>44109</v>
      </c>
      <c r="E114" s="58">
        <f t="shared" si="18"/>
        <v>0.99988282488307756</v>
      </c>
      <c r="F114" s="59">
        <f t="shared" si="19"/>
        <v>2.9888062439056284E-2</v>
      </c>
      <c r="G114" s="64"/>
      <c r="H114" s="102"/>
      <c r="I114" s="14"/>
      <c r="J114" s="74"/>
      <c r="K114" s="19"/>
      <c r="L114" s="75"/>
      <c r="M114" s="10"/>
      <c r="N114" s="10"/>
      <c r="O114" s="10"/>
      <c r="P114" s="10"/>
    </row>
    <row r="115" spans="1:16" x14ac:dyDescent="0.25">
      <c r="A115" s="5"/>
      <c r="B115" s="5">
        <f t="shared" si="13"/>
        <v>159</v>
      </c>
      <c r="C115" s="5">
        <f t="shared" si="14"/>
        <v>1</v>
      </c>
      <c r="D115" s="97">
        <f t="shared" si="15"/>
        <v>44110</v>
      </c>
      <c r="E115" s="58">
        <f t="shared" si="18"/>
        <v>0.99988199475709161</v>
      </c>
      <c r="F115" s="59">
        <f t="shared" si="19"/>
        <v>2.9888062439056284E-2</v>
      </c>
      <c r="G115" s="64"/>
      <c r="H115" s="102"/>
      <c r="I115" s="14"/>
      <c r="J115" s="74"/>
      <c r="K115" s="19"/>
      <c r="L115" s="75"/>
      <c r="M115" s="10"/>
      <c r="N115" s="10"/>
      <c r="O115" s="10"/>
      <c r="P115" s="10"/>
    </row>
    <row r="116" spans="1:16" x14ac:dyDescent="0.25">
      <c r="A116" s="5"/>
      <c r="B116" s="5">
        <f t="shared" si="13"/>
        <v>160</v>
      </c>
      <c r="C116" s="5">
        <f t="shared" si="14"/>
        <v>1</v>
      </c>
      <c r="D116" s="97">
        <f t="shared" si="15"/>
        <v>44111</v>
      </c>
      <c r="E116" s="58">
        <f t="shared" si="18"/>
        <v>0.99988116463179488</v>
      </c>
      <c r="F116" s="59">
        <f t="shared" si="19"/>
        <v>2.9888062439056284E-2</v>
      </c>
      <c r="G116" s="64"/>
      <c r="H116" s="102"/>
      <c r="I116" s="14"/>
      <c r="J116" s="74"/>
      <c r="K116" s="19"/>
      <c r="L116" s="75"/>
      <c r="M116" s="10"/>
      <c r="N116" s="10"/>
      <c r="O116" s="10"/>
      <c r="P116" s="10"/>
    </row>
    <row r="117" spans="1:16" x14ac:dyDescent="0.25">
      <c r="A117" s="5"/>
      <c r="B117" s="5">
        <f t="shared" si="13"/>
        <v>161</v>
      </c>
      <c r="C117" s="5">
        <f t="shared" si="14"/>
        <v>1</v>
      </c>
      <c r="D117" s="97">
        <f t="shared" si="15"/>
        <v>44112</v>
      </c>
      <c r="E117" s="58">
        <f t="shared" si="18"/>
        <v>0.99988033450718738</v>
      </c>
      <c r="F117" s="59">
        <f t="shared" si="19"/>
        <v>2.9888062439056284E-2</v>
      </c>
      <c r="G117" s="64"/>
      <c r="H117" s="102"/>
      <c r="I117" s="14"/>
      <c r="J117" s="74"/>
      <c r="K117" s="19"/>
      <c r="L117" s="75"/>
      <c r="M117" s="10"/>
      <c r="N117" s="10"/>
      <c r="O117" s="10"/>
      <c r="P117" s="10"/>
    </row>
    <row r="118" spans="1:16" x14ac:dyDescent="0.25">
      <c r="A118" s="5"/>
      <c r="B118" s="5">
        <f t="shared" si="13"/>
        <v>162</v>
      </c>
      <c r="C118" s="5">
        <f t="shared" si="14"/>
        <v>1</v>
      </c>
      <c r="D118" s="97">
        <f t="shared" si="15"/>
        <v>44113</v>
      </c>
      <c r="E118" s="58">
        <f t="shared" si="18"/>
        <v>0.999879504383269</v>
      </c>
      <c r="F118" s="59">
        <f t="shared" si="19"/>
        <v>2.9888062439056284E-2</v>
      </c>
      <c r="G118" s="64"/>
      <c r="H118" s="102"/>
      <c r="I118" s="14"/>
      <c r="J118" s="74"/>
      <c r="K118" s="19"/>
      <c r="L118" s="75"/>
      <c r="M118" s="10"/>
      <c r="N118" s="10"/>
      <c r="O118" s="10"/>
      <c r="P118" s="10"/>
    </row>
    <row r="119" spans="1:16" x14ac:dyDescent="0.25">
      <c r="A119" s="5"/>
      <c r="B119" s="5">
        <f t="shared" si="13"/>
        <v>165</v>
      </c>
      <c r="C119" s="5">
        <f t="shared" si="14"/>
        <v>3</v>
      </c>
      <c r="D119" s="97">
        <f t="shared" si="15"/>
        <v>44116</v>
      </c>
      <c r="E119" s="58">
        <f t="shared" si="18"/>
        <v>0.99987701401771689</v>
      </c>
      <c r="F119" s="59">
        <f t="shared" si="19"/>
        <v>2.9888062439056284E-2</v>
      </c>
      <c r="G119" s="64"/>
      <c r="H119" s="102"/>
      <c r="I119" s="14"/>
      <c r="J119" s="74"/>
      <c r="K119" s="19"/>
      <c r="L119" s="75"/>
      <c r="M119" s="10"/>
      <c r="N119" s="10"/>
      <c r="O119" s="10"/>
      <c r="P119" s="10"/>
    </row>
    <row r="120" spans="1:16" x14ac:dyDescent="0.25">
      <c r="A120" s="5"/>
      <c r="B120" s="5">
        <f t="shared" si="13"/>
        <v>166</v>
      </c>
      <c r="C120" s="5">
        <f t="shared" si="14"/>
        <v>1</v>
      </c>
      <c r="D120" s="97">
        <f t="shared" si="15"/>
        <v>44117</v>
      </c>
      <c r="E120" s="58">
        <f t="shared" si="18"/>
        <v>0.9998761838965553</v>
      </c>
      <c r="F120" s="59">
        <f t="shared" si="19"/>
        <v>2.9888062439056284E-2</v>
      </c>
      <c r="G120" s="64"/>
      <c r="H120" s="102"/>
      <c r="I120" s="14"/>
      <c r="J120" s="74"/>
      <c r="K120" s="19"/>
      <c r="L120" s="75"/>
      <c r="M120" s="10"/>
      <c r="N120" s="10"/>
      <c r="O120" s="10"/>
      <c r="P120" s="10"/>
    </row>
    <row r="121" spans="1:16" x14ac:dyDescent="0.25">
      <c r="A121" s="5"/>
      <c r="B121" s="5">
        <f t="shared" si="13"/>
        <v>167</v>
      </c>
      <c r="C121" s="5">
        <f t="shared" si="14"/>
        <v>1</v>
      </c>
      <c r="D121" s="97">
        <f t="shared" si="15"/>
        <v>44118</v>
      </c>
      <c r="E121" s="58">
        <f t="shared" si="18"/>
        <v>0.99987535377608294</v>
      </c>
      <c r="F121" s="59">
        <f t="shared" si="19"/>
        <v>2.9888062439056284E-2</v>
      </c>
      <c r="G121" s="64"/>
      <c r="H121" s="102"/>
      <c r="I121" s="14"/>
      <c r="J121" s="74"/>
      <c r="K121" s="19"/>
      <c r="L121" s="75"/>
      <c r="M121" s="10"/>
      <c r="N121" s="10"/>
      <c r="O121" s="10"/>
      <c r="P121" s="10"/>
    </row>
    <row r="122" spans="1:16" x14ac:dyDescent="0.25">
      <c r="A122" s="5"/>
      <c r="B122" s="5">
        <f t="shared" si="13"/>
        <v>168</v>
      </c>
      <c r="C122" s="5">
        <f t="shared" si="14"/>
        <v>1</v>
      </c>
      <c r="D122" s="97">
        <f t="shared" si="15"/>
        <v>44119</v>
      </c>
      <c r="E122" s="58">
        <f t="shared" si="18"/>
        <v>0.9998745236562997</v>
      </c>
      <c r="F122" s="59">
        <f t="shared" si="19"/>
        <v>2.9888062439056284E-2</v>
      </c>
      <c r="G122" s="64"/>
      <c r="H122" s="102"/>
      <c r="I122" s="14"/>
      <c r="J122" s="74"/>
      <c r="K122" s="19"/>
      <c r="L122" s="75"/>
      <c r="M122" s="10"/>
      <c r="N122" s="10"/>
      <c r="O122" s="10"/>
      <c r="P122" s="10"/>
    </row>
    <row r="123" spans="1:16" x14ac:dyDescent="0.25">
      <c r="A123" s="5"/>
      <c r="B123" s="5">
        <f t="shared" si="13"/>
        <v>169</v>
      </c>
      <c r="C123" s="5">
        <f t="shared" si="14"/>
        <v>1</v>
      </c>
      <c r="D123" s="97">
        <f t="shared" si="15"/>
        <v>44120</v>
      </c>
      <c r="E123" s="58">
        <f t="shared" si="18"/>
        <v>0.99987369353720568</v>
      </c>
      <c r="F123" s="59">
        <f t="shared" si="19"/>
        <v>2.9888062439056284E-2</v>
      </c>
      <c r="G123" s="64"/>
      <c r="H123" s="102"/>
      <c r="I123" s="14"/>
      <c r="J123" s="74"/>
      <c r="K123" s="19"/>
      <c r="L123" s="75"/>
      <c r="M123" s="10"/>
      <c r="N123" s="10"/>
      <c r="O123" s="10"/>
      <c r="P123" s="10"/>
    </row>
    <row r="124" spans="1:16" x14ac:dyDescent="0.25">
      <c r="A124" s="5"/>
      <c r="B124" s="5">
        <f t="shared" si="13"/>
        <v>172</v>
      </c>
      <c r="C124" s="5">
        <f t="shared" si="14"/>
        <v>3</v>
      </c>
      <c r="D124" s="97">
        <f t="shared" si="15"/>
        <v>44123</v>
      </c>
      <c r="E124" s="58">
        <f t="shared" si="18"/>
        <v>0.99987120318612643</v>
      </c>
      <c r="F124" s="59">
        <f t="shared" si="19"/>
        <v>2.9888062439056284E-2</v>
      </c>
      <c r="G124" s="64"/>
      <c r="H124" s="102"/>
      <c r="I124" s="14"/>
      <c r="J124" s="74"/>
      <c r="K124" s="19"/>
      <c r="L124" s="75"/>
      <c r="M124" s="10"/>
      <c r="N124" s="10"/>
      <c r="O124" s="10"/>
      <c r="P124" s="10"/>
    </row>
    <row r="125" spans="1:16" x14ac:dyDescent="0.25">
      <c r="A125" s="5"/>
      <c r="B125" s="5">
        <f t="shared" si="13"/>
        <v>173</v>
      </c>
      <c r="C125" s="5">
        <f t="shared" si="14"/>
        <v>1</v>
      </c>
      <c r="D125" s="97">
        <f t="shared" si="15"/>
        <v>44124</v>
      </c>
      <c r="E125" s="58">
        <f t="shared" si="18"/>
        <v>0.9998703730697891</v>
      </c>
      <c r="F125" s="59">
        <f t="shared" si="19"/>
        <v>2.9888062439056284E-2</v>
      </c>
      <c r="G125" s="64"/>
      <c r="H125" s="102"/>
      <c r="I125" s="14"/>
      <c r="J125" s="74"/>
      <c r="K125" s="19"/>
      <c r="L125" s="75"/>
      <c r="M125" s="10"/>
      <c r="N125" s="10"/>
      <c r="O125" s="10"/>
      <c r="P125" s="10"/>
    </row>
    <row r="126" spans="1:16" x14ac:dyDescent="0.25">
      <c r="A126" s="5"/>
      <c r="B126" s="5">
        <f t="shared" si="13"/>
        <v>174</v>
      </c>
      <c r="C126" s="5">
        <f t="shared" si="14"/>
        <v>1</v>
      </c>
      <c r="D126" s="97">
        <f t="shared" si="15"/>
        <v>44125</v>
      </c>
      <c r="E126" s="58">
        <f t="shared" si="18"/>
        <v>0.99986954295414099</v>
      </c>
      <c r="F126" s="59">
        <f t="shared" si="19"/>
        <v>2.9888062439056284E-2</v>
      </c>
      <c r="G126" s="64"/>
      <c r="H126" s="102"/>
      <c r="I126" s="14"/>
      <c r="J126" s="74"/>
      <c r="K126" s="19"/>
      <c r="L126" s="75"/>
      <c r="M126" s="10"/>
      <c r="N126" s="10"/>
      <c r="O126" s="10"/>
      <c r="P126" s="10"/>
    </row>
    <row r="127" spans="1:16" x14ac:dyDescent="0.25">
      <c r="A127" s="5"/>
      <c r="B127" s="5">
        <f t="shared" si="13"/>
        <v>175</v>
      </c>
      <c r="C127" s="5">
        <f t="shared" si="14"/>
        <v>1</v>
      </c>
      <c r="D127" s="97">
        <f t="shared" si="15"/>
        <v>44126</v>
      </c>
      <c r="E127" s="58">
        <f t="shared" si="18"/>
        <v>0.99986871283918199</v>
      </c>
      <c r="F127" s="59">
        <f t="shared" si="19"/>
        <v>2.9888062439056284E-2</v>
      </c>
      <c r="G127" s="64"/>
      <c r="H127" s="102"/>
      <c r="I127" s="14"/>
      <c r="J127" s="74"/>
      <c r="K127" s="19"/>
      <c r="L127" s="75"/>
      <c r="M127" s="10"/>
      <c r="N127" s="10"/>
      <c r="O127" s="10"/>
      <c r="P127" s="10"/>
    </row>
    <row r="128" spans="1:16" x14ac:dyDescent="0.25">
      <c r="A128" s="5"/>
      <c r="B128" s="5">
        <f t="shared" si="13"/>
        <v>176</v>
      </c>
      <c r="C128" s="5">
        <f t="shared" si="14"/>
        <v>1</v>
      </c>
      <c r="D128" s="97">
        <f t="shared" si="15"/>
        <v>44127</v>
      </c>
      <c r="E128" s="58">
        <f t="shared" si="18"/>
        <v>0.99986788272491223</v>
      </c>
      <c r="F128" s="59">
        <f t="shared" si="19"/>
        <v>2.9888062439056284E-2</v>
      </c>
      <c r="G128" s="64"/>
      <c r="H128" s="102"/>
      <c r="I128" s="14"/>
      <c r="J128" s="74"/>
      <c r="K128" s="19"/>
      <c r="L128" s="75"/>
      <c r="M128" s="10"/>
      <c r="N128" s="10"/>
      <c r="O128" s="10"/>
      <c r="P128" s="10"/>
    </row>
    <row r="129" spans="1:16" x14ac:dyDescent="0.25">
      <c r="A129" s="5"/>
      <c r="B129" s="5">
        <f t="shared" si="13"/>
        <v>179</v>
      </c>
      <c r="C129" s="5">
        <f t="shared" si="14"/>
        <v>3</v>
      </c>
      <c r="D129" s="97">
        <f t="shared" si="15"/>
        <v>44130</v>
      </c>
      <c r="E129" s="58">
        <f t="shared" si="18"/>
        <v>0.99986539238830574</v>
      </c>
      <c r="F129" s="59">
        <f t="shared" si="19"/>
        <v>2.9888062439056284E-2</v>
      </c>
      <c r="G129" s="64"/>
      <c r="H129" s="102"/>
      <c r="I129" s="14"/>
      <c r="J129" s="74"/>
      <c r="K129" s="19"/>
      <c r="L129" s="75"/>
      <c r="M129" s="10"/>
      <c r="N129" s="10"/>
      <c r="O129" s="10"/>
      <c r="P129" s="10"/>
    </row>
    <row r="130" spans="1:16" x14ac:dyDescent="0.25">
      <c r="A130" s="5"/>
      <c r="B130" s="5">
        <f t="shared" si="13"/>
        <v>180</v>
      </c>
      <c r="C130" s="5">
        <f t="shared" si="14"/>
        <v>1</v>
      </c>
      <c r="D130" s="97">
        <f t="shared" si="15"/>
        <v>44131</v>
      </c>
      <c r="E130" s="58">
        <f t="shared" si="18"/>
        <v>0.99986456227679266</v>
      </c>
      <c r="F130" s="59">
        <f t="shared" si="19"/>
        <v>2.9888062439056284E-2</v>
      </c>
      <c r="G130" s="64"/>
      <c r="H130" s="102"/>
      <c r="I130" s="14"/>
      <c r="J130" s="74"/>
      <c r="K130" s="19"/>
      <c r="L130" s="75"/>
      <c r="M130" s="10"/>
      <c r="N130" s="10"/>
      <c r="O130" s="10"/>
      <c r="P130" s="10"/>
    </row>
    <row r="131" spans="1:16" x14ac:dyDescent="0.25">
      <c r="A131" s="5"/>
      <c r="B131" s="5">
        <f t="shared" si="13"/>
        <v>181</v>
      </c>
      <c r="C131" s="5">
        <f t="shared" si="14"/>
        <v>1</v>
      </c>
      <c r="D131" s="97">
        <f t="shared" si="15"/>
        <v>44132</v>
      </c>
      <c r="E131" s="58">
        <f t="shared" si="18"/>
        <v>0.9998637321659688</v>
      </c>
      <c r="F131" s="59">
        <f t="shared" si="19"/>
        <v>2.9888062439056284E-2</v>
      </c>
      <c r="G131" s="64"/>
      <c r="H131" s="102"/>
      <c r="I131" s="14"/>
      <c r="J131" s="74"/>
      <c r="K131" s="19"/>
      <c r="L131" s="75"/>
      <c r="M131" s="10"/>
      <c r="N131" s="10"/>
      <c r="O131" s="10"/>
      <c r="P131" s="10"/>
    </row>
    <row r="132" spans="1:16" x14ac:dyDescent="0.25">
      <c r="A132" s="5"/>
      <c r="B132" s="5">
        <f t="shared" ref="B132:B171" si="20">D132-$D$2</f>
        <v>182</v>
      </c>
      <c r="C132" s="5">
        <f t="shared" ref="C132:C168" si="21">D132-D131</f>
        <v>1</v>
      </c>
      <c r="D132" s="97">
        <f t="shared" ref="D132:D166" si="22">WORKDAY(D131,1)</f>
        <v>44133</v>
      </c>
      <c r="E132" s="58">
        <f t="shared" si="18"/>
        <v>0.99986290205583406</v>
      </c>
      <c r="F132" s="59">
        <f t="shared" si="19"/>
        <v>2.9888062439056284E-2</v>
      </c>
      <c r="G132" s="64"/>
      <c r="H132" s="102"/>
      <c r="I132" s="14"/>
      <c r="J132" s="74"/>
      <c r="K132" s="19"/>
      <c r="L132" s="75"/>
      <c r="M132" s="10"/>
      <c r="N132" s="10"/>
      <c r="O132" s="10"/>
      <c r="P132" s="10"/>
    </row>
    <row r="133" spans="1:16" x14ac:dyDescent="0.25">
      <c r="A133" s="5"/>
      <c r="B133" s="5">
        <f t="shared" si="20"/>
        <v>183</v>
      </c>
      <c r="C133" s="5">
        <f t="shared" si="21"/>
        <v>1</v>
      </c>
      <c r="D133" s="97">
        <f t="shared" si="22"/>
        <v>44134</v>
      </c>
      <c r="E133" s="58">
        <f t="shared" si="18"/>
        <v>0.99986207194638854</v>
      </c>
      <c r="F133" s="59">
        <f t="shared" si="19"/>
        <v>2.9888062439056284E-2</v>
      </c>
      <c r="G133" s="64"/>
      <c r="H133" s="102"/>
      <c r="I133" s="14"/>
      <c r="J133" s="74"/>
      <c r="K133" s="19"/>
      <c r="L133" s="75"/>
      <c r="M133" s="10"/>
      <c r="N133" s="10"/>
      <c r="O133" s="10"/>
      <c r="P133" s="10"/>
    </row>
    <row r="134" spans="1:16" x14ac:dyDescent="0.25">
      <c r="A134" s="5"/>
      <c r="B134" s="5">
        <f t="shared" si="20"/>
        <v>186</v>
      </c>
      <c r="C134" s="5">
        <f t="shared" si="21"/>
        <v>3</v>
      </c>
      <c r="D134" s="97">
        <f t="shared" si="22"/>
        <v>44137</v>
      </c>
      <c r="E134" s="58">
        <f t="shared" ref="E134:E165" si="23">E133/(1+F134*C134/36000)</f>
        <v>0.99985958162425481</v>
      </c>
      <c r="F134" s="59">
        <f t="shared" si="19"/>
        <v>2.9888062439056284E-2</v>
      </c>
      <c r="G134" s="64"/>
      <c r="H134" s="102"/>
      <c r="I134" s="14"/>
      <c r="J134" s="74"/>
      <c r="K134" s="19"/>
      <c r="L134" s="75"/>
      <c r="M134" s="10"/>
      <c r="N134" s="10"/>
      <c r="O134" s="10"/>
      <c r="P134" s="10"/>
    </row>
    <row r="135" spans="1:16" x14ac:dyDescent="0.25">
      <c r="A135" s="5"/>
      <c r="B135" s="5">
        <f t="shared" si="20"/>
        <v>187</v>
      </c>
      <c r="C135" s="5">
        <f t="shared" si="21"/>
        <v>1</v>
      </c>
      <c r="D135" s="97">
        <f t="shared" si="22"/>
        <v>44138</v>
      </c>
      <c r="E135" s="58">
        <f t="shared" si="23"/>
        <v>0.99985875151756598</v>
      </c>
      <c r="F135" s="59">
        <f t="shared" si="19"/>
        <v>2.9888062439056284E-2</v>
      </c>
      <c r="G135" s="64"/>
      <c r="H135" s="102"/>
      <c r="I135" s="14"/>
      <c r="J135" s="74"/>
      <c r="K135" s="19"/>
      <c r="L135" s="75"/>
      <c r="M135" s="10"/>
      <c r="N135" s="10"/>
      <c r="O135" s="10"/>
      <c r="P135" s="10"/>
    </row>
    <row r="136" spans="1:16" x14ac:dyDescent="0.25">
      <c r="A136" s="5"/>
      <c r="B136" s="5">
        <f t="shared" si="20"/>
        <v>188</v>
      </c>
      <c r="C136" s="5">
        <f t="shared" si="21"/>
        <v>1</v>
      </c>
      <c r="D136" s="99">
        <f t="shared" si="22"/>
        <v>44139</v>
      </c>
      <c r="E136" s="58">
        <f t="shared" si="23"/>
        <v>0.99985792141156637</v>
      </c>
      <c r="F136" s="59">
        <f t="shared" si="19"/>
        <v>2.9888062439056284E-2</v>
      </c>
      <c r="G136" s="64"/>
      <c r="H136" s="102"/>
      <c r="I136" s="14" t="s">
        <v>5</v>
      </c>
      <c r="J136" s="74"/>
      <c r="K136" s="19"/>
      <c r="L136" s="75"/>
      <c r="M136" s="10"/>
      <c r="N136" s="10"/>
      <c r="O136" s="10"/>
      <c r="P136" s="10"/>
    </row>
    <row r="137" spans="1:16" x14ac:dyDescent="0.25">
      <c r="A137" s="5"/>
      <c r="B137" s="5">
        <f t="shared" si="20"/>
        <v>189</v>
      </c>
      <c r="C137" s="5">
        <f t="shared" si="21"/>
        <v>1</v>
      </c>
      <c r="D137" s="97">
        <f t="shared" si="22"/>
        <v>44140</v>
      </c>
      <c r="E137" s="58">
        <f t="shared" si="23"/>
        <v>0.99985709130625589</v>
      </c>
      <c r="F137" s="59">
        <f t="shared" si="19"/>
        <v>2.9888062439056284E-2</v>
      </c>
      <c r="G137" s="64"/>
      <c r="H137" s="102"/>
      <c r="I137" s="14"/>
      <c r="J137" s="74"/>
      <c r="K137" s="19"/>
      <c r="L137" s="75"/>
      <c r="M137" s="10"/>
      <c r="N137" s="10"/>
      <c r="O137" s="10"/>
      <c r="P137" s="10"/>
    </row>
    <row r="138" spans="1:16" x14ac:dyDescent="0.25">
      <c r="A138" s="5"/>
      <c r="B138" s="5">
        <f t="shared" si="20"/>
        <v>190</v>
      </c>
      <c r="C138" s="5">
        <f t="shared" si="21"/>
        <v>1</v>
      </c>
      <c r="D138" s="97">
        <f t="shared" si="22"/>
        <v>44141</v>
      </c>
      <c r="E138" s="58">
        <f t="shared" si="23"/>
        <v>0.99985626120163462</v>
      </c>
      <c r="F138" s="59">
        <f t="shared" si="19"/>
        <v>2.9888062439056284E-2</v>
      </c>
      <c r="G138" s="64"/>
      <c r="H138" s="102"/>
      <c r="I138" s="14"/>
      <c r="J138" s="74"/>
      <c r="K138" s="19"/>
      <c r="L138" s="75"/>
      <c r="M138" s="10"/>
      <c r="N138" s="10"/>
      <c r="O138" s="10"/>
      <c r="P138" s="10"/>
    </row>
    <row r="139" spans="1:16" x14ac:dyDescent="0.25">
      <c r="A139" s="5"/>
      <c r="B139" s="5">
        <f t="shared" si="20"/>
        <v>193</v>
      </c>
      <c r="C139" s="5">
        <f t="shared" si="21"/>
        <v>3</v>
      </c>
      <c r="D139" s="97">
        <f t="shared" si="22"/>
        <v>44144</v>
      </c>
      <c r="E139" s="58">
        <f>E138/(1+F139*C139/36000)</f>
        <v>0.99985377089397354</v>
      </c>
      <c r="F139" s="59">
        <f t="shared" si="19"/>
        <v>2.9888062439056284E-2</v>
      </c>
      <c r="G139" s="64"/>
      <c r="H139" s="102"/>
      <c r="I139" s="14"/>
      <c r="J139" s="74"/>
      <c r="K139" s="19"/>
      <c r="L139" s="75"/>
      <c r="M139" s="10"/>
      <c r="N139" s="10"/>
      <c r="O139" s="10"/>
      <c r="P139" s="10"/>
    </row>
    <row r="140" spans="1:16" x14ac:dyDescent="0.25">
      <c r="A140" s="5"/>
      <c r="B140" s="5">
        <f t="shared" si="20"/>
        <v>194</v>
      </c>
      <c r="C140" s="5">
        <f t="shared" si="21"/>
        <v>1</v>
      </c>
      <c r="D140" s="97">
        <f t="shared" si="22"/>
        <v>44145</v>
      </c>
      <c r="E140" s="58">
        <f t="shared" si="23"/>
        <v>0.99985294079210896</v>
      </c>
      <c r="F140" s="59">
        <f t="shared" si="19"/>
        <v>2.9888062439056284E-2</v>
      </c>
      <c r="G140" s="64"/>
      <c r="H140" s="102"/>
      <c r="I140" s="14"/>
      <c r="J140" s="74"/>
      <c r="K140" s="19"/>
      <c r="L140" s="75"/>
      <c r="M140" s="10"/>
      <c r="N140" s="10"/>
      <c r="O140" s="10"/>
      <c r="P140" s="10"/>
    </row>
    <row r="141" spans="1:16" x14ac:dyDescent="0.25">
      <c r="A141" s="5"/>
      <c r="B141" s="5">
        <f t="shared" si="20"/>
        <v>195</v>
      </c>
      <c r="C141" s="5">
        <f t="shared" si="21"/>
        <v>1</v>
      </c>
      <c r="D141" s="97">
        <f t="shared" si="22"/>
        <v>44146</v>
      </c>
      <c r="E141" s="58">
        <f t="shared" si="23"/>
        <v>0.99985211069093349</v>
      </c>
      <c r="F141" s="59">
        <f t="shared" si="19"/>
        <v>2.9888062439056284E-2</v>
      </c>
      <c r="G141" s="64"/>
      <c r="H141" s="102"/>
      <c r="I141" s="14"/>
      <c r="J141" s="74"/>
      <c r="K141" s="19"/>
      <c r="L141" s="75"/>
      <c r="M141" s="10"/>
      <c r="N141" s="10"/>
      <c r="O141" s="10"/>
      <c r="P141" s="10"/>
    </row>
    <row r="142" spans="1:16" x14ac:dyDescent="0.25">
      <c r="A142" s="5"/>
      <c r="B142" s="5">
        <f t="shared" si="20"/>
        <v>196</v>
      </c>
      <c r="C142" s="5">
        <f t="shared" si="21"/>
        <v>1</v>
      </c>
      <c r="D142" s="97">
        <f t="shared" si="22"/>
        <v>44147</v>
      </c>
      <c r="E142" s="58">
        <f t="shared" si="23"/>
        <v>0.99985128059044726</v>
      </c>
      <c r="F142" s="59">
        <f t="shared" si="19"/>
        <v>2.9888062439056284E-2</v>
      </c>
      <c r="G142" s="64"/>
      <c r="H142" s="102"/>
      <c r="I142" s="14"/>
      <c r="J142" s="74"/>
      <c r="K142" s="19"/>
      <c r="L142" s="75"/>
      <c r="M142" s="10"/>
      <c r="N142" s="10"/>
      <c r="O142" s="10"/>
      <c r="P142" s="10"/>
    </row>
    <row r="143" spans="1:16" x14ac:dyDescent="0.25">
      <c r="A143" s="5"/>
      <c r="B143" s="5">
        <f t="shared" si="20"/>
        <v>197</v>
      </c>
      <c r="C143" s="5">
        <f t="shared" si="21"/>
        <v>1</v>
      </c>
      <c r="D143" s="97">
        <f t="shared" si="22"/>
        <v>44148</v>
      </c>
      <c r="E143" s="58">
        <f t="shared" si="23"/>
        <v>0.99985045049065013</v>
      </c>
      <c r="F143" s="59">
        <f t="shared" si="19"/>
        <v>2.9888062439056284E-2</v>
      </c>
      <c r="G143" s="64"/>
      <c r="H143" s="102"/>
      <c r="I143" s="14"/>
      <c r="J143" s="74"/>
      <c r="K143" s="19"/>
      <c r="L143" s="75"/>
      <c r="M143" s="10"/>
      <c r="N143" s="10"/>
      <c r="O143" s="10"/>
      <c r="P143" s="10"/>
    </row>
    <row r="144" spans="1:16" x14ac:dyDescent="0.25">
      <c r="A144" s="5"/>
      <c r="B144" s="5">
        <f t="shared" si="20"/>
        <v>200</v>
      </c>
      <c r="C144" s="5">
        <f t="shared" si="21"/>
        <v>3</v>
      </c>
      <c r="D144" s="97">
        <f t="shared" si="22"/>
        <v>44151</v>
      </c>
      <c r="E144" s="58">
        <f t="shared" si="23"/>
        <v>0.99984796019746158</v>
      </c>
      <c r="F144" s="59">
        <f t="shared" si="19"/>
        <v>2.9888062439056284E-2</v>
      </c>
      <c r="G144" s="64"/>
      <c r="H144" s="102"/>
      <c r="I144" s="14"/>
      <c r="J144" s="74"/>
      <c r="K144" s="19"/>
      <c r="L144" s="75"/>
      <c r="M144" s="10"/>
      <c r="N144" s="10"/>
      <c r="O144" s="10"/>
      <c r="P144" s="10"/>
    </row>
    <row r="145" spans="1:16" x14ac:dyDescent="0.25">
      <c r="A145" s="5"/>
      <c r="B145" s="5">
        <f t="shared" si="20"/>
        <v>201</v>
      </c>
      <c r="C145" s="5">
        <f t="shared" si="21"/>
        <v>1</v>
      </c>
      <c r="D145" s="97">
        <f t="shared" si="22"/>
        <v>44152</v>
      </c>
      <c r="E145" s="58">
        <f t="shared" si="23"/>
        <v>0.99984713010042114</v>
      </c>
      <c r="F145" s="59">
        <f t="shared" si="19"/>
        <v>2.9888062439056284E-2</v>
      </c>
      <c r="G145" s="64"/>
      <c r="H145" s="102"/>
      <c r="I145" s="14"/>
      <c r="J145" s="74"/>
      <c r="K145" s="19"/>
      <c r="L145" s="75"/>
      <c r="M145" s="10"/>
      <c r="N145" s="10"/>
      <c r="O145" s="10"/>
      <c r="P145" s="10"/>
    </row>
    <row r="146" spans="1:16" x14ac:dyDescent="0.25">
      <c r="A146" s="5"/>
      <c r="B146" s="5">
        <f t="shared" si="20"/>
        <v>202</v>
      </c>
      <c r="C146" s="5">
        <f t="shared" si="21"/>
        <v>1</v>
      </c>
      <c r="D146" s="97">
        <f t="shared" si="22"/>
        <v>44153</v>
      </c>
      <c r="E146" s="58">
        <f t="shared" si="23"/>
        <v>0.99984630000406982</v>
      </c>
      <c r="F146" s="59">
        <f t="shared" si="19"/>
        <v>2.9888062439056284E-2</v>
      </c>
      <c r="G146" s="64"/>
      <c r="H146" s="102"/>
      <c r="I146" s="14"/>
      <c r="J146" s="74"/>
      <c r="K146" s="19"/>
      <c r="L146" s="75"/>
      <c r="M146" s="10"/>
      <c r="N146" s="10"/>
      <c r="O146" s="10"/>
      <c r="P146" s="10"/>
    </row>
    <row r="147" spans="1:16" x14ac:dyDescent="0.25">
      <c r="A147" s="5"/>
      <c r="B147" s="5">
        <f t="shared" si="20"/>
        <v>203</v>
      </c>
      <c r="C147" s="5">
        <f t="shared" si="21"/>
        <v>1</v>
      </c>
      <c r="D147" s="97">
        <f t="shared" si="22"/>
        <v>44154</v>
      </c>
      <c r="E147" s="58">
        <f t="shared" si="23"/>
        <v>0.99984546990840772</v>
      </c>
      <c r="F147" s="59">
        <f t="shared" si="19"/>
        <v>2.9888062439056284E-2</v>
      </c>
      <c r="G147" s="64"/>
      <c r="H147" s="102"/>
      <c r="I147" s="14"/>
      <c r="J147" s="74"/>
      <c r="K147" s="19"/>
      <c r="L147" s="75"/>
      <c r="M147" s="10"/>
      <c r="N147" s="10"/>
      <c r="O147" s="10"/>
      <c r="P147" s="10"/>
    </row>
    <row r="148" spans="1:16" x14ac:dyDescent="0.25">
      <c r="A148" s="5"/>
      <c r="B148" s="5">
        <f t="shared" si="20"/>
        <v>204</v>
      </c>
      <c r="C148" s="5">
        <f t="shared" si="21"/>
        <v>1</v>
      </c>
      <c r="D148" s="97">
        <f t="shared" si="22"/>
        <v>44155</v>
      </c>
      <c r="E148" s="58">
        <f t="shared" si="23"/>
        <v>0.99984463981343474</v>
      </c>
      <c r="F148" s="59">
        <f t="shared" si="19"/>
        <v>2.9888062439056284E-2</v>
      </c>
      <c r="G148" s="64"/>
      <c r="H148" s="102"/>
      <c r="I148" s="14"/>
      <c r="J148" s="74"/>
      <c r="K148" s="19"/>
      <c r="L148" s="75"/>
      <c r="M148" s="10"/>
      <c r="N148" s="10"/>
      <c r="O148" s="10"/>
      <c r="P148" s="10"/>
    </row>
    <row r="149" spans="1:16" x14ac:dyDescent="0.25">
      <c r="A149" s="5"/>
      <c r="B149" s="5">
        <f t="shared" si="20"/>
        <v>207</v>
      </c>
      <c r="C149" s="5">
        <f t="shared" si="21"/>
        <v>3</v>
      </c>
      <c r="D149" s="97">
        <f t="shared" si="22"/>
        <v>44158</v>
      </c>
      <c r="E149" s="58">
        <f t="shared" si="23"/>
        <v>0.99984214953471862</v>
      </c>
      <c r="F149" s="59">
        <f t="shared" si="19"/>
        <v>2.9888062439056284E-2</v>
      </c>
      <c r="G149" s="64"/>
      <c r="H149" s="102"/>
      <c r="I149" s="14"/>
      <c r="J149" s="74"/>
      <c r="K149" s="19"/>
      <c r="L149" s="75"/>
      <c r="M149" s="10"/>
      <c r="N149" s="10"/>
      <c r="O149" s="10"/>
      <c r="P149" s="10"/>
    </row>
    <row r="150" spans="1:16" x14ac:dyDescent="0.25">
      <c r="A150" s="5"/>
      <c r="B150" s="5">
        <f t="shared" si="20"/>
        <v>208</v>
      </c>
      <c r="C150" s="5">
        <f t="shared" si="21"/>
        <v>1</v>
      </c>
      <c r="D150" s="97">
        <f t="shared" si="22"/>
        <v>44159</v>
      </c>
      <c r="E150" s="58">
        <f t="shared" si="23"/>
        <v>0.99984131944250232</v>
      </c>
      <c r="F150" s="59">
        <f t="shared" si="19"/>
        <v>2.9888062439056284E-2</v>
      </c>
      <c r="G150" s="64"/>
      <c r="H150" s="102"/>
      <c r="I150" s="14"/>
      <c r="J150" s="74"/>
      <c r="K150" s="19"/>
      <c r="L150" s="75"/>
      <c r="M150" s="10"/>
      <c r="N150" s="10"/>
      <c r="O150" s="10"/>
      <c r="P150" s="10"/>
    </row>
    <row r="151" spans="1:16" x14ac:dyDescent="0.25">
      <c r="A151" s="5"/>
      <c r="B151" s="5">
        <f t="shared" si="20"/>
        <v>209</v>
      </c>
      <c r="C151" s="5">
        <f t="shared" si="21"/>
        <v>1</v>
      </c>
      <c r="D151" s="97">
        <f t="shared" si="22"/>
        <v>44160</v>
      </c>
      <c r="E151" s="58">
        <f t="shared" si="23"/>
        <v>0.99984048935097514</v>
      </c>
      <c r="F151" s="59">
        <f t="shared" si="19"/>
        <v>2.9888062439056284E-2</v>
      </c>
      <c r="G151" s="64"/>
      <c r="H151" s="102"/>
      <c r="I151" s="14"/>
      <c r="J151" s="74"/>
      <c r="K151" s="19"/>
      <c r="L151" s="75"/>
      <c r="M151" s="10"/>
      <c r="N151" s="10"/>
      <c r="O151" s="10"/>
      <c r="P151" s="10"/>
    </row>
    <row r="152" spans="1:16" x14ac:dyDescent="0.25">
      <c r="A152" s="5"/>
      <c r="B152" s="5">
        <f t="shared" si="20"/>
        <v>210</v>
      </c>
      <c r="C152" s="5">
        <f t="shared" si="21"/>
        <v>1</v>
      </c>
      <c r="D152" s="97">
        <f t="shared" si="22"/>
        <v>44161</v>
      </c>
      <c r="E152" s="58">
        <f t="shared" si="23"/>
        <v>0.99983965926013718</v>
      </c>
      <c r="F152" s="59">
        <f t="shared" si="19"/>
        <v>2.9888062439056284E-2</v>
      </c>
      <c r="G152" s="64"/>
      <c r="H152" s="102"/>
      <c r="I152" s="14"/>
      <c r="J152" s="74"/>
      <c r="K152" s="19"/>
      <c r="L152" s="75"/>
      <c r="M152" s="10"/>
      <c r="N152" s="10"/>
      <c r="O152" s="10"/>
      <c r="P152" s="10"/>
    </row>
    <row r="153" spans="1:16" x14ac:dyDescent="0.25">
      <c r="A153" s="5"/>
      <c r="B153" s="5">
        <f t="shared" si="20"/>
        <v>211</v>
      </c>
      <c r="C153" s="5">
        <f t="shared" si="21"/>
        <v>1</v>
      </c>
      <c r="D153" s="97">
        <f t="shared" si="22"/>
        <v>44162</v>
      </c>
      <c r="E153" s="58">
        <f t="shared" si="23"/>
        <v>0.99983882916998834</v>
      </c>
      <c r="F153" s="59">
        <f t="shared" si="19"/>
        <v>2.9888062439056284E-2</v>
      </c>
      <c r="G153" s="64"/>
      <c r="H153" s="102"/>
      <c r="I153" s="14"/>
      <c r="J153" s="74"/>
      <c r="K153" s="19"/>
      <c r="L153" s="75"/>
      <c r="M153" s="10"/>
      <c r="N153" s="10"/>
      <c r="O153" s="10"/>
      <c r="P153" s="10"/>
    </row>
    <row r="154" spans="1:16" x14ac:dyDescent="0.25">
      <c r="A154" s="5"/>
      <c r="B154" s="5">
        <f t="shared" si="20"/>
        <v>214</v>
      </c>
      <c r="C154" s="5">
        <f t="shared" si="21"/>
        <v>3</v>
      </c>
      <c r="D154" s="97">
        <f t="shared" si="22"/>
        <v>44165</v>
      </c>
      <c r="E154" s="58">
        <f t="shared" si="23"/>
        <v>0.99983633890574453</v>
      </c>
      <c r="F154" s="59">
        <f t="shared" si="19"/>
        <v>2.9888062439056284E-2</v>
      </c>
      <c r="G154" s="64"/>
      <c r="H154" s="102"/>
      <c r="I154" s="14"/>
      <c r="J154" s="74"/>
      <c r="K154" s="19"/>
      <c r="L154" s="75"/>
      <c r="M154" s="10"/>
      <c r="N154" s="10"/>
      <c r="O154" s="10"/>
      <c r="P154" s="10"/>
    </row>
    <row r="155" spans="1:16" x14ac:dyDescent="0.25">
      <c r="A155" s="5"/>
      <c r="B155" s="5">
        <f t="shared" si="20"/>
        <v>215</v>
      </c>
      <c r="C155" s="5">
        <f t="shared" si="21"/>
        <v>1</v>
      </c>
      <c r="D155" s="97">
        <f t="shared" si="22"/>
        <v>44166</v>
      </c>
      <c r="E155" s="58">
        <f t="shared" si="23"/>
        <v>0.99983550881835237</v>
      </c>
      <c r="F155" s="59">
        <f t="shared" si="19"/>
        <v>2.9888062439056284E-2</v>
      </c>
      <c r="G155" s="64"/>
      <c r="H155" s="102"/>
      <c r="I155" s="14"/>
      <c r="J155" s="74"/>
      <c r="K155" s="19"/>
      <c r="L155" s="75"/>
      <c r="M155" s="10"/>
      <c r="N155" s="10"/>
      <c r="O155" s="10"/>
      <c r="P155" s="10"/>
    </row>
    <row r="156" spans="1:16" x14ac:dyDescent="0.25">
      <c r="A156" s="5"/>
      <c r="B156" s="5">
        <f t="shared" si="20"/>
        <v>216</v>
      </c>
      <c r="C156" s="5">
        <f t="shared" si="21"/>
        <v>1</v>
      </c>
      <c r="D156" s="97">
        <f t="shared" si="22"/>
        <v>44167</v>
      </c>
      <c r="E156" s="58">
        <f t="shared" si="23"/>
        <v>0.99983467873164933</v>
      </c>
      <c r="F156" s="59">
        <f t="shared" si="19"/>
        <v>2.9888062439056284E-2</v>
      </c>
      <c r="G156" s="64"/>
      <c r="H156" s="102"/>
      <c r="I156" s="14"/>
      <c r="J156" s="74"/>
      <c r="K156" s="19"/>
      <c r="L156" s="75"/>
      <c r="M156" s="10"/>
      <c r="N156" s="10"/>
      <c r="O156" s="10"/>
      <c r="P156" s="10"/>
    </row>
    <row r="157" spans="1:16" x14ac:dyDescent="0.25">
      <c r="A157" s="5"/>
      <c r="B157" s="5">
        <f t="shared" si="20"/>
        <v>217</v>
      </c>
      <c r="C157" s="5">
        <f t="shared" si="21"/>
        <v>1</v>
      </c>
      <c r="D157" s="97">
        <f t="shared" si="22"/>
        <v>44168</v>
      </c>
      <c r="E157" s="58">
        <f t="shared" si="23"/>
        <v>0.99983384864563551</v>
      </c>
      <c r="F157" s="59">
        <f t="shared" si="19"/>
        <v>2.9888062439056284E-2</v>
      </c>
      <c r="G157" s="64"/>
      <c r="H157" s="102"/>
      <c r="I157" s="14"/>
      <c r="J157" s="74"/>
      <c r="K157" s="19"/>
      <c r="L157" s="75"/>
      <c r="M157" s="10"/>
      <c r="N157" s="10"/>
      <c r="O157" s="10"/>
      <c r="P157" s="10"/>
    </row>
    <row r="158" spans="1:16" x14ac:dyDescent="0.25">
      <c r="A158" s="5"/>
      <c r="B158" s="5">
        <f t="shared" si="20"/>
        <v>218</v>
      </c>
      <c r="C158" s="5">
        <f t="shared" si="21"/>
        <v>1</v>
      </c>
      <c r="D158" s="97">
        <f t="shared" si="22"/>
        <v>44169</v>
      </c>
      <c r="E158" s="58">
        <f t="shared" si="23"/>
        <v>0.99983301856031082</v>
      </c>
      <c r="F158" s="59">
        <f t="shared" si="19"/>
        <v>2.9888062439056284E-2</v>
      </c>
      <c r="G158" s="64"/>
      <c r="H158" s="102"/>
      <c r="I158" s="14"/>
      <c r="J158" s="74"/>
      <c r="K158" s="19"/>
      <c r="L158" s="75"/>
      <c r="M158" s="10"/>
      <c r="N158" s="10"/>
      <c r="O158" s="10"/>
      <c r="P158" s="10"/>
    </row>
    <row r="159" spans="1:16" x14ac:dyDescent="0.25">
      <c r="A159" s="5"/>
      <c r="B159" s="5">
        <f t="shared" si="20"/>
        <v>221</v>
      </c>
      <c r="C159" s="5">
        <f t="shared" si="21"/>
        <v>3</v>
      </c>
      <c r="D159" s="97">
        <f t="shared" si="22"/>
        <v>44172</v>
      </c>
      <c r="E159" s="58">
        <f t="shared" si="23"/>
        <v>0.99983052831053931</v>
      </c>
      <c r="F159" s="59">
        <f t="shared" si="19"/>
        <v>2.9888062439056284E-2</v>
      </c>
      <c r="G159" s="64"/>
      <c r="H159" s="102"/>
      <c r="I159" s="14"/>
      <c r="J159" s="74"/>
      <c r="K159" s="19"/>
      <c r="L159" s="75"/>
      <c r="M159" s="10"/>
      <c r="N159" s="10"/>
      <c r="O159" s="10"/>
      <c r="P159" s="10"/>
    </row>
    <row r="160" spans="1:16" x14ac:dyDescent="0.25">
      <c r="A160" s="5"/>
      <c r="B160" s="5">
        <f t="shared" si="20"/>
        <v>222</v>
      </c>
      <c r="C160" s="5">
        <f t="shared" si="21"/>
        <v>1</v>
      </c>
      <c r="D160" s="97">
        <f t="shared" si="22"/>
        <v>44173</v>
      </c>
      <c r="E160" s="58">
        <f t="shared" si="23"/>
        <v>0.99982969822797119</v>
      </c>
      <c r="F160" s="59">
        <f t="shared" si="19"/>
        <v>2.9888062439056284E-2</v>
      </c>
      <c r="G160" s="64"/>
      <c r="H160" s="102"/>
      <c r="I160" s="14"/>
      <c r="J160" s="74"/>
      <c r="K160" s="19"/>
      <c r="L160" s="75"/>
      <c r="M160" s="10"/>
      <c r="N160" s="10"/>
      <c r="O160" s="10"/>
      <c r="P160" s="10"/>
    </row>
    <row r="161" spans="1:16" x14ac:dyDescent="0.25">
      <c r="A161" s="5"/>
      <c r="B161" s="5">
        <f t="shared" si="20"/>
        <v>223</v>
      </c>
      <c r="C161" s="5">
        <f t="shared" si="21"/>
        <v>1</v>
      </c>
      <c r="D161" s="97">
        <f t="shared" si="22"/>
        <v>44174</v>
      </c>
      <c r="E161" s="58">
        <f t="shared" si="23"/>
        <v>0.99982886814609229</v>
      </c>
      <c r="F161" s="59">
        <f t="shared" si="19"/>
        <v>2.9888062439056284E-2</v>
      </c>
      <c r="G161" s="64"/>
      <c r="H161" s="102"/>
      <c r="I161" s="14"/>
      <c r="J161" s="74"/>
      <c r="K161" s="19"/>
      <c r="L161" s="75"/>
      <c r="M161" s="10"/>
      <c r="N161" s="10"/>
      <c r="O161" s="10"/>
      <c r="P161" s="10"/>
    </row>
    <row r="162" spans="1:16" x14ac:dyDescent="0.25">
      <c r="A162" s="5"/>
      <c r="B162" s="5">
        <f t="shared" si="20"/>
        <v>224</v>
      </c>
      <c r="C162" s="5">
        <f t="shared" si="21"/>
        <v>1</v>
      </c>
      <c r="D162" s="97">
        <f t="shared" si="22"/>
        <v>44175</v>
      </c>
      <c r="E162" s="58">
        <f t="shared" si="23"/>
        <v>0.9998280380649025</v>
      </c>
      <c r="F162" s="59">
        <f t="shared" si="19"/>
        <v>2.9888062439056284E-2</v>
      </c>
      <c r="G162" s="64"/>
      <c r="H162" s="102"/>
      <c r="I162" s="14"/>
      <c r="J162" s="74"/>
      <c r="K162" s="19"/>
      <c r="L162" s="75"/>
      <c r="M162" s="10"/>
      <c r="N162" s="10"/>
      <c r="O162" s="10"/>
      <c r="P162" s="10"/>
    </row>
    <row r="163" spans="1:16" x14ac:dyDescent="0.25">
      <c r="A163" s="5"/>
      <c r="B163" s="5">
        <f t="shared" si="20"/>
        <v>225</v>
      </c>
      <c r="C163" s="5">
        <f t="shared" si="21"/>
        <v>1</v>
      </c>
      <c r="D163" s="97">
        <f t="shared" si="22"/>
        <v>44176</v>
      </c>
      <c r="E163" s="58">
        <f t="shared" si="23"/>
        <v>0.99982720798440183</v>
      </c>
      <c r="F163" s="59">
        <f t="shared" si="19"/>
        <v>2.9888062439056284E-2</v>
      </c>
      <c r="G163" s="64"/>
      <c r="H163" s="102"/>
      <c r="I163" s="14"/>
      <c r="J163" s="74"/>
      <c r="K163" s="19"/>
      <c r="L163" s="75"/>
      <c r="M163" s="10"/>
      <c r="N163" s="10"/>
      <c r="O163" s="10"/>
      <c r="P163" s="10"/>
    </row>
    <row r="164" spans="1:16" x14ac:dyDescent="0.25">
      <c r="A164" s="5"/>
      <c r="B164" s="5">
        <f t="shared" si="20"/>
        <v>228</v>
      </c>
      <c r="C164" s="5">
        <f t="shared" si="21"/>
        <v>3</v>
      </c>
      <c r="D164" s="97">
        <f t="shared" si="22"/>
        <v>44179</v>
      </c>
      <c r="E164" s="58">
        <f t="shared" si="23"/>
        <v>0.99982471774910253</v>
      </c>
      <c r="F164" s="59">
        <f t="shared" si="19"/>
        <v>2.9888062439056284E-2</v>
      </c>
      <c r="G164" s="64"/>
      <c r="H164" s="102"/>
      <c r="I164" s="14"/>
      <c r="J164" s="74"/>
      <c r="K164" s="19"/>
      <c r="L164" s="75"/>
      <c r="M164" s="10"/>
      <c r="N164" s="10"/>
      <c r="O164" s="10"/>
      <c r="P164" s="10"/>
    </row>
    <row r="165" spans="1:16" x14ac:dyDescent="0.25">
      <c r="A165" s="5"/>
      <c r="B165" s="5">
        <f t="shared" si="20"/>
        <v>229</v>
      </c>
      <c r="C165" s="5">
        <f t="shared" si="21"/>
        <v>1</v>
      </c>
      <c r="D165" s="99">
        <f t="shared" si="22"/>
        <v>44180</v>
      </c>
      <c r="E165" s="58">
        <f t="shared" si="23"/>
        <v>0.99982388767135855</v>
      </c>
      <c r="F165" s="59">
        <f t="shared" si="19"/>
        <v>2.9888062439056284E-2</v>
      </c>
      <c r="G165" s="64"/>
      <c r="H165" s="100">
        <f>(1+F165/36000)^(B165-B100)</f>
        <v>1.0000755532026941</v>
      </c>
      <c r="I165" s="14" t="s">
        <v>6</v>
      </c>
      <c r="J165" s="74"/>
      <c r="K165" s="19"/>
      <c r="L165" s="75"/>
      <c r="M165" s="10"/>
      <c r="N165" s="10"/>
      <c r="O165" s="10"/>
      <c r="P165" s="10"/>
    </row>
    <row r="166" spans="1:16" x14ac:dyDescent="0.25">
      <c r="A166" s="5"/>
      <c r="B166" s="5">
        <f t="shared" si="20"/>
        <v>230</v>
      </c>
      <c r="C166" s="5">
        <f t="shared" si="21"/>
        <v>1</v>
      </c>
      <c r="D166" s="97">
        <f t="shared" si="22"/>
        <v>44181</v>
      </c>
      <c r="E166" s="58">
        <f>E165/(1+F166*C166/36000)</f>
        <v>0.99982278227476984</v>
      </c>
      <c r="F166" s="59">
        <f>L167</f>
        <v>3.9801330691737746E-2</v>
      </c>
      <c r="G166" s="64"/>
      <c r="H166" s="102"/>
      <c r="I166" s="14"/>
      <c r="J166" s="74"/>
      <c r="K166" s="8" t="s">
        <v>224</v>
      </c>
      <c r="L166" s="84" t="s">
        <v>177</v>
      </c>
      <c r="M166" s="10"/>
      <c r="N166" s="10"/>
      <c r="O166" s="10"/>
      <c r="P166" s="10"/>
    </row>
    <row r="167" spans="1:16" x14ac:dyDescent="0.25">
      <c r="A167" s="5"/>
      <c r="B167" s="5">
        <f t="shared" si="20"/>
        <v>321</v>
      </c>
      <c r="C167" s="5">
        <f t="shared" si="21"/>
        <v>91</v>
      </c>
      <c r="D167" s="97">
        <v>44272</v>
      </c>
      <c r="E167" s="58">
        <f>E166/(1+F167*C167/36000)</f>
        <v>0.99972220130454781</v>
      </c>
      <c r="F167" s="59">
        <f>L167</f>
        <v>3.9801330691737746E-2</v>
      </c>
      <c r="G167" s="64"/>
      <c r="H167" s="100">
        <f>(1+F167/36000)^(B167-B165)</f>
        <v>1.0001017196286432</v>
      </c>
      <c r="I167" s="14"/>
      <c r="J167" s="85" t="s">
        <v>12</v>
      </c>
      <c r="K167" s="22">
        <f>100-O43</f>
        <v>4.0000000000006253E-2</v>
      </c>
      <c r="L167" s="86">
        <f>((K167*91/360+1)^(1/91)-1)*360</f>
        <v>3.9801330691737746E-2</v>
      </c>
      <c r="M167" s="10"/>
      <c r="N167" s="10"/>
      <c r="O167" s="10"/>
      <c r="P167" s="10"/>
    </row>
    <row r="168" spans="1:16" x14ac:dyDescent="0.25">
      <c r="A168" s="53" t="s">
        <v>14</v>
      </c>
      <c r="B168" s="5">
        <f>365</f>
        <v>365</v>
      </c>
      <c r="C168" s="5">
        <f t="shared" si="21"/>
        <v>44</v>
      </c>
      <c r="D168" s="97">
        <v>44316</v>
      </c>
      <c r="E168" s="58">
        <f>E167/(1+F168*C168/36000)</f>
        <v>0.99966148952578626</v>
      </c>
      <c r="F168" s="59">
        <f>L168</f>
        <v>4.9690094149505981E-2</v>
      </c>
      <c r="G168" s="64"/>
      <c r="H168" s="105">
        <f>((1+F168/36000)^C168*H167*H165*H100*H35-1)*360/365</f>
        <v>3.3399317691124107E-4</v>
      </c>
      <c r="I168" s="14"/>
      <c r="J168" s="85" t="s">
        <v>172</v>
      </c>
      <c r="K168" s="22">
        <f t="shared" ref="K168:K170" si="24">100-O44</f>
        <v>4.9999999999997158E-2</v>
      </c>
      <c r="L168" s="86">
        <f>((K168*C167/360+1)^(1/C167)-1)*360</f>
        <v>4.9690094149505981E-2</v>
      </c>
      <c r="M168" s="10"/>
      <c r="N168" s="10"/>
      <c r="O168" s="10"/>
      <c r="P168" s="10"/>
    </row>
    <row r="169" spans="1:16" x14ac:dyDescent="0.25">
      <c r="A169" s="128"/>
      <c r="B169" s="5">
        <f t="shared" si="20"/>
        <v>412</v>
      </c>
      <c r="C169" s="5">
        <f>D169-D167</f>
        <v>91</v>
      </c>
      <c r="D169" s="97">
        <v>44363</v>
      </c>
      <c r="E169" s="58">
        <f>E167/(1+F168*C169/36000)</f>
        <v>0.99959664645221147</v>
      </c>
      <c r="F169" s="59">
        <f>L168</f>
        <v>4.9690094149505981E-2</v>
      </c>
      <c r="G169" s="64"/>
      <c r="H169" s="98"/>
      <c r="I169" s="14"/>
      <c r="J169" s="85" t="s">
        <v>173</v>
      </c>
      <c r="K169" s="22">
        <f t="shared" si="24"/>
        <v>5.5000000000006821E-2</v>
      </c>
      <c r="L169" s="86">
        <f>((K169*C169/360+1)^(1/C169)-1)*360</f>
        <v>5.4625324589823165E-2</v>
      </c>
      <c r="M169" s="10"/>
      <c r="N169" s="10"/>
      <c r="O169" s="10"/>
      <c r="P169" s="10"/>
    </row>
    <row r="170" spans="1:16" ht="15.75" thickBot="1" x14ac:dyDescent="0.3">
      <c r="A170" s="128"/>
      <c r="B170" s="5">
        <f t="shared" si="20"/>
        <v>503</v>
      </c>
      <c r="C170" s="5">
        <f t="shared" ref="C170:C171" si="25">D170-D169</f>
        <v>91</v>
      </c>
      <c r="D170" s="97">
        <v>44454</v>
      </c>
      <c r="E170" s="58">
        <f t="shared" ref="E170:E171" si="26">E169/(1+F170*C170/36000)</f>
        <v>0.99945864052189515</v>
      </c>
      <c r="F170" s="59">
        <f>L169</f>
        <v>5.4625324589823165E-2</v>
      </c>
      <c r="G170" s="64"/>
      <c r="H170" s="98"/>
      <c r="I170" s="14"/>
      <c r="J170" s="87" t="s">
        <v>174</v>
      </c>
      <c r="K170" s="88">
        <f t="shared" si="24"/>
        <v>6.0000000000002274E-2</v>
      </c>
      <c r="L170" s="89">
        <f>((K170*C170/360+1)^(1/C170)-1)*360</f>
        <v>5.9554474329477358E-2</v>
      </c>
      <c r="M170" s="10"/>
      <c r="N170" s="10"/>
      <c r="O170" s="10"/>
      <c r="P170" s="10"/>
    </row>
    <row r="171" spans="1:16" x14ac:dyDescent="0.25">
      <c r="A171" s="128"/>
      <c r="B171" s="5">
        <f t="shared" si="20"/>
        <v>594</v>
      </c>
      <c r="C171" s="5">
        <f t="shared" si="25"/>
        <v>91</v>
      </c>
      <c r="D171" s="97">
        <v>44545</v>
      </c>
      <c r="E171" s="58">
        <f t="shared" si="26"/>
        <v>0.99930820418838928</v>
      </c>
      <c r="F171" s="59">
        <f>L170</f>
        <v>5.9554474329477358E-2</v>
      </c>
      <c r="G171" s="61">
        <v>3.1474893042360785E-2</v>
      </c>
      <c r="H171" s="98"/>
      <c r="I171" s="14"/>
      <c r="J171" s="10"/>
      <c r="K171" s="10"/>
      <c r="L171" s="10"/>
      <c r="M171" s="10"/>
      <c r="N171" s="10"/>
      <c r="O171" s="10"/>
      <c r="P171" s="10"/>
    </row>
    <row r="172" spans="1:16" ht="15.75" thickBot="1" x14ac:dyDescent="0.3">
      <c r="A172" s="53" t="s">
        <v>15</v>
      </c>
      <c r="B172" s="5">
        <v>730</v>
      </c>
      <c r="C172" s="5">
        <f>D172-D171</f>
        <v>136</v>
      </c>
      <c r="D172" s="97">
        <f t="shared" ref="D172:D235" si="27">$D$2+B172</f>
        <v>44681</v>
      </c>
      <c r="E172" s="58">
        <f>E171/(1+G171/36000)^(D172-D171)</f>
        <v>0.99918938841095761</v>
      </c>
      <c r="F172" s="60">
        <f>G171</f>
        <v>3.1474893042360785E-2</v>
      </c>
      <c r="G172" s="61">
        <v>0.10600089394531055</v>
      </c>
      <c r="H172" s="106">
        <f>((1+G171/36000)^C172*(1+F171/36000)^C171*(1+F170/36000)^C170*(1+F169/36000)^(B169-B168)-1)*360/365</f>
        <v>4.660380102441773E-4</v>
      </c>
      <c r="I172" s="62"/>
      <c r="K172" s="10"/>
      <c r="L172" s="10"/>
      <c r="M172" s="10"/>
      <c r="N172" s="10"/>
      <c r="O172" s="10"/>
      <c r="P172" s="10"/>
    </row>
    <row r="173" spans="1:16" ht="20.25" customHeight="1" x14ac:dyDescent="0.4">
      <c r="A173" s="15" t="s">
        <v>26</v>
      </c>
      <c r="B173" s="5">
        <v>821</v>
      </c>
      <c r="C173" s="5"/>
      <c r="D173" s="97">
        <f t="shared" si="27"/>
        <v>44772</v>
      </c>
      <c r="E173" s="58"/>
      <c r="F173" s="60">
        <f>G172</f>
        <v>0.10600089394531055</v>
      </c>
      <c r="G173" s="64"/>
      <c r="H173" s="107"/>
      <c r="I173" s="4"/>
      <c r="J173" s="92" t="s">
        <v>230</v>
      </c>
      <c r="K173" s="129" t="s">
        <v>179</v>
      </c>
      <c r="L173" s="129" t="s">
        <v>170</v>
      </c>
      <c r="M173" s="129" t="s">
        <v>171</v>
      </c>
      <c r="N173" s="129" t="s">
        <v>175</v>
      </c>
      <c r="O173" s="10"/>
      <c r="P173" s="10"/>
    </row>
    <row r="174" spans="1:16" x14ac:dyDescent="0.25">
      <c r="A174" s="15" t="s">
        <v>28</v>
      </c>
      <c r="B174" s="5">
        <v>912</v>
      </c>
      <c r="C174" s="5"/>
      <c r="D174" s="97">
        <f t="shared" si="27"/>
        <v>44863</v>
      </c>
      <c r="E174" s="58"/>
      <c r="F174" s="60">
        <f>F173</f>
        <v>0.10600089394531055</v>
      </c>
      <c r="G174" s="64"/>
      <c r="H174" s="107"/>
      <c r="I174" s="4"/>
      <c r="J174" s="23"/>
      <c r="K174" s="1">
        <v>24</v>
      </c>
      <c r="L174" s="20">
        <f>O52*(E172+E168)*10000000</f>
        <v>7995.4035117469757</v>
      </c>
      <c r="M174" s="20">
        <f>(H172*E172+H168*E168)*10000000</f>
        <v>7995.4035115467987</v>
      </c>
      <c r="N174" s="16">
        <f t="shared" ref="N174:N184" si="28">M174-L174</f>
        <v>-2.0017705537611619E-7</v>
      </c>
      <c r="O174" s="10"/>
      <c r="P174" s="10"/>
    </row>
    <row r="175" spans="1:16" x14ac:dyDescent="0.25">
      <c r="A175" s="15" t="s">
        <v>30</v>
      </c>
      <c r="B175" s="5">
        <v>1003</v>
      </c>
      <c r="C175" s="5"/>
      <c r="D175" s="97">
        <f t="shared" si="27"/>
        <v>44954</v>
      </c>
      <c r="E175" s="58"/>
      <c r="F175" s="60">
        <f t="shared" ref="F175:F176" si="29">F174</f>
        <v>0.10600089394531055</v>
      </c>
      <c r="G175" s="64"/>
      <c r="H175" s="107"/>
      <c r="I175" s="4"/>
      <c r="J175" s="3"/>
      <c r="K175" s="1">
        <v>36</v>
      </c>
      <c r="L175" s="20">
        <f>10000000*(E176+E172+E168)*O53</f>
        <v>18581.195305013825</v>
      </c>
      <c r="M175" s="20">
        <f>(E176*H176+H172*E172+H168*E168)*10000000</f>
        <v>18581.195306035203</v>
      </c>
      <c r="N175" s="17">
        <f t="shared" si="28"/>
        <v>1.0213771020062268E-6</v>
      </c>
      <c r="O175" s="10"/>
      <c r="P175" s="10"/>
    </row>
    <row r="176" spans="1:16" x14ac:dyDescent="0.25">
      <c r="A176" s="15" t="s">
        <v>16</v>
      </c>
      <c r="B176" s="5">
        <v>1095</v>
      </c>
      <c r="C176" s="5"/>
      <c r="D176" s="97">
        <f t="shared" si="27"/>
        <v>45046</v>
      </c>
      <c r="E176" s="58">
        <f>E172/(1+G172/36000)^(B176-B172)</f>
        <v>0.9981161067429053</v>
      </c>
      <c r="F176" s="60">
        <f t="shared" si="29"/>
        <v>0.10600089394531055</v>
      </c>
      <c r="G176" s="61">
        <v>0.21411572236205206</v>
      </c>
      <c r="H176" s="106">
        <f>((1+F176/36000)^(B176-B172)-1)*360/(B176-B172)</f>
        <v>1.060577193672629E-3</v>
      </c>
      <c r="I176" s="4"/>
      <c r="J176" s="3"/>
      <c r="K176" s="1">
        <v>48</v>
      </c>
      <c r="L176" s="20">
        <f>10000000*(E176+E172+E168+E180)*O54</f>
        <v>39929.186423227875</v>
      </c>
      <c r="M176" s="20">
        <f>(E176*H176+H172*E172+H168*E168+H180*E180)*10000000</f>
        <v>39929.186427024739</v>
      </c>
      <c r="N176" s="17">
        <f t="shared" si="28"/>
        <v>3.7968638935126364E-6</v>
      </c>
      <c r="O176" s="10"/>
      <c r="P176" s="10"/>
    </row>
    <row r="177" spans="1:16" x14ac:dyDescent="0.25">
      <c r="A177" s="15" t="s">
        <v>33</v>
      </c>
      <c r="B177" s="5">
        <v>1186</v>
      </c>
      <c r="C177" s="5"/>
      <c r="D177" s="97">
        <f t="shared" si="27"/>
        <v>45137</v>
      </c>
      <c r="E177" s="58"/>
      <c r="F177" s="60">
        <f>G176</f>
        <v>0.21411572236205206</v>
      </c>
      <c r="G177" s="64"/>
      <c r="H177" s="107"/>
      <c r="I177" s="4"/>
      <c r="J177" s="3"/>
      <c r="K177" s="1">
        <v>60</v>
      </c>
      <c r="L177" s="20">
        <f>10000000*(E176+E172+E168+E180+E184)*O55</f>
        <v>75775.58527591094</v>
      </c>
      <c r="M177" s="20">
        <f>(E176*H176+H172*E172+H168*E168+H180*E180+H184*E184)*10000000</f>
        <v>75775.585283559965</v>
      </c>
      <c r="N177" s="17">
        <f t="shared" si="28"/>
        <v>7.6490250648930669E-6</v>
      </c>
      <c r="O177" s="10"/>
      <c r="P177" s="10"/>
    </row>
    <row r="178" spans="1:16" x14ac:dyDescent="0.25">
      <c r="A178" s="15" t="s">
        <v>35</v>
      </c>
      <c r="B178" s="5">
        <v>1277</v>
      </c>
      <c r="C178" s="5"/>
      <c r="D178" s="97">
        <f t="shared" si="27"/>
        <v>45228</v>
      </c>
      <c r="E178" s="58"/>
      <c r="F178" s="60">
        <f>F177</f>
        <v>0.21411572236205206</v>
      </c>
      <c r="G178" s="64"/>
      <c r="H178" s="107"/>
      <c r="I178" s="4"/>
      <c r="J178" s="3"/>
      <c r="K178" s="1">
        <v>84</v>
      </c>
      <c r="L178" s="20">
        <f>10000000*(E176+E172+E168+E180+E184+E188+E192)*O56</f>
        <v>182186.21451069036</v>
      </c>
      <c r="M178" s="20">
        <f>(E176*H176+H172*E172+H168*E168+H180*E180+H184*E184+E188*H188+H192*E192)*10000000</f>
        <v>182186.21456246753</v>
      </c>
      <c r="N178" s="17">
        <f t="shared" si="28"/>
        <v>5.1777169574052095E-5</v>
      </c>
      <c r="O178" s="10"/>
      <c r="P178" s="10"/>
    </row>
    <row r="179" spans="1:16" x14ac:dyDescent="0.25">
      <c r="A179" s="15" t="s">
        <v>37</v>
      </c>
      <c r="B179" s="5">
        <v>1368</v>
      </c>
      <c r="C179" s="5"/>
      <c r="D179" s="97">
        <f t="shared" si="27"/>
        <v>45319</v>
      </c>
      <c r="E179" s="58"/>
      <c r="F179" s="60">
        <f>F178</f>
        <v>0.21411572236205206</v>
      </c>
      <c r="G179" s="64"/>
      <c r="H179" s="107"/>
      <c r="I179" s="4"/>
      <c r="J179" s="3"/>
      <c r="K179" s="1">
        <v>120</v>
      </c>
      <c r="L179" s="20">
        <f>10000000*(E176+E172+E168+E180+E184+E188+E192+E196+E200+E204)*O57</f>
        <v>379538.66575897357</v>
      </c>
      <c r="M179" s="20">
        <f>(E176*H176+H172*E172+H168*E168+H180*E180+H184*E184+E188*H188+H192*E192+E196*H196+E200*H200+E204*H204)*10000000</f>
        <v>379538.66586832394</v>
      </c>
      <c r="N179" s="17">
        <f t="shared" si="28"/>
        <v>1.0935036698356271E-4</v>
      </c>
      <c r="O179" s="10"/>
      <c r="P179" s="10"/>
    </row>
    <row r="180" spans="1:16" x14ac:dyDescent="0.25">
      <c r="A180" s="15" t="s">
        <v>17</v>
      </c>
      <c r="B180" s="5">
        <v>1460</v>
      </c>
      <c r="C180" s="5"/>
      <c r="D180" s="97">
        <f t="shared" si="27"/>
        <v>45411</v>
      </c>
      <c r="E180" s="58">
        <f>E176/(1+G176/36000)^(B180-B176)</f>
        <v>0.99595165764313831</v>
      </c>
      <c r="F180" s="60">
        <f>F179</f>
        <v>0.21411572236205206</v>
      </c>
      <c r="G180" s="61">
        <v>0.36058119207426503</v>
      </c>
      <c r="H180" s="106">
        <f>((1+F180/36000)^(B180-B176)-1)*360/(B180-B176)</f>
        <v>2.1434766393690543E-3</v>
      </c>
      <c r="I180" s="4"/>
      <c r="J180" s="3"/>
      <c r="K180" s="1">
        <v>144</v>
      </c>
      <c r="L180" s="20">
        <f>10000000*(E176+E172+E168+E180+E184+E188+E192+E196+E200+E204+E208+E212)*O58</f>
        <v>515111.7429620882</v>
      </c>
      <c r="M180" s="20">
        <f>(E176*H176+H172*E172+H168*E168+H180*E180+H184*E184+E188*H188+H192*E192+E196*H196+E200*H200+E204*H204+E208*H208+E212*H212)*10000000</f>
        <v>515111.74299657915</v>
      </c>
      <c r="N180" s="17">
        <f t="shared" si="28"/>
        <v>3.4490949474275112E-5</v>
      </c>
      <c r="O180" s="10"/>
      <c r="P180" s="10"/>
    </row>
    <row r="181" spans="1:16" x14ac:dyDescent="0.25">
      <c r="A181" s="15" t="s">
        <v>38</v>
      </c>
      <c r="B181" s="5">
        <v>1551</v>
      </c>
      <c r="C181" s="5"/>
      <c r="D181" s="97">
        <f t="shared" si="27"/>
        <v>45502</v>
      </c>
      <c r="E181" s="58"/>
      <c r="F181" s="60">
        <f>G180</f>
        <v>0.36058119207426503</v>
      </c>
      <c r="G181" s="64"/>
      <c r="H181" s="107"/>
      <c r="I181" s="4"/>
      <c r="J181" s="3"/>
      <c r="K181" s="1">
        <v>180</v>
      </c>
      <c r="L181" s="20">
        <f>10000000*(E176+E172+E168+E180+E184+E188+E192+E196+E200+E204+E208+E212+E216+E220+E224)*O59</f>
        <v>719379.58088850277</v>
      </c>
      <c r="M181" s="20">
        <f>(E176*H176+H172*E172+H168*E168+H180*E180+H184*E184+E188*H188+H192*E192+E196*H196+E200*H200+E204*H204+E208*H208+E212*H212+E216*H216+E220*H220+E224*H224)*10000000</f>
        <v>719379.58094186126</v>
      </c>
      <c r="N181" s="17">
        <f t="shared" si="28"/>
        <v>5.3358497098088264E-5</v>
      </c>
      <c r="O181" s="10"/>
      <c r="P181" s="10"/>
    </row>
    <row r="182" spans="1:16" x14ac:dyDescent="0.25">
      <c r="A182" s="15" t="s">
        <v>39</v>
      </c>
      <c r="B182" s="5">
        <v>1642</v>
      </c>
      <c r="C182" s="5"/>
      <c r="D182" s="97">
        <f t="shared" si="27"/>
        <v>45593</v>
      </c>
      <c r="E182" s="58"/>
      <c r="F182" s="60">
        <f>F181</f>
        <v>0.36058119207426503</v>
      </c>
      <c r="G182" s="64"/>
      <c r="H182" s="107"/>
      <c r="I182" s="4"/>
      <c r="J182" s="3"/>
      <c r="K182" s="1">
        <v>240</v>
      </c>
      <c r="L182" s="20">
        <f>10000000*(E176+E172+E168+E180+E184+E188+E192+E196+E200+E204+E208+E212+E216+E220+E224+E228+E232+E236+E240+E244)*O60</f>
        <v>1035280.5626080473</v>
      </c>
      <c r="M182" s="20">
        <f>(E176*H176+H172*E172+H168*E168+H180*E180+H184*E184+E188*H188+H192*E192+E196*H196+E200*H200+E204*H204+E208*H208+E212*H212+E216*H216+E220*H220+E224*H224+E228*H228+E232*H232+E236*H236+E240*H240+E244*H244)*10000000</f>
        <v>1035280.5626840886</v>
      </c>
      <c r="N182" s="17">
        <f t="shared" si="28"/>
        <v>7.6041324064135551E-5</v>
      </c>
      <c r="O182" s="10"/>
      <c r="P182" s="10"/>
    </row>
    <row r="183" spans="1:16" x14ac:dyDescent="0.25">
      <c r="A183" s="15" t="s">
        <v>40</v>
      </c>
      <c r="B183" s="5">
        <v>1733</v>
      </c>
      <c r="C183" s="5"/>
      <c r="D183" s="97">
        <f t="shared" si="27"/>
        <v>45684</v>
      </c>
      <c r="E183" s="58"/>
      <c r="F183" s="60">
        <f>F182</f>
        <v>0.36058119207426503</v>
      </c>
      <c r="G183" s="64"/>
      <c r="H183" s="107"/>
      <c r="I183" s="4"/>
      <c r="J183" s="3"/>
      <c r="K183" s="1">
        <v>360</v>
      </c>
      <c r="L183" s="20">
        <f>10000000*(E176+E172+E168+E180+E184+E188+E192+E196+E200+E204+E208+E212+E216+E220+E224+E228+E232+E236+E240+E244+E248+E252+E256+E260+E264+E268+E272+E276+E280+E284)*O61</f>
        <v>1557209.7627531022</v>
      </c>
      <c r="M183" s="20">
        <f>(E176*H176+H172*E172+H168*E168+H180*E180+H184*E184+E188*H188+H192*E192+E196*H196+E200*H200+E204*H204+E208*H208+E212*H212+E216*H216+E220*H220+E224*H224+E228*H228+E232*H232+E236*H236+E240*H240+E244*H244+E248*H248+E252*H252+E256*H256+E260*H260+E264*H264+E268*H268+E272*H272+E276*H276+E280*H280+E284*H284)*10000000</f>
        <v>1557209.762809525</v>
      </c>
      <c r="N183" s="17">
        <f t="shared" si="28"/>
        <v>5.6422781199216843E-5</v>
      </c>
      <c r="O183" s="10"/>
      <c r="P183" s="10"/>
    </row>
    <row r="184" spans="1:16" x14ac:dyDescent="0.25">
      <c r="A184" s="15" t="s">
        <v>18</v>
      </c>
      <c r="B184" s="5">
        <v>1825</v>
      </c>
      <c r="C184" s="5"/>
      <c r="D184" s="97">
        <f t="shared" si="27"/>
        <v>45776</v>
      </c>
      <c r="E184" s="58">
        <f>E180/(1+G180/36000)^(B184-B180)</f>
        <v>0.99231723109240622</v>
      </c>
      <c r="F184" s="60">
        <f>F183</f>
        <v>0.36058119207426503</v>
      </c>
      <c r="G184" s="61">
        <v>0.53911250922179399</v>
      </c>
      <c r="H184" s="106">
        <f>((1+F184/36000)^(B184-B180)-1)*360/(B184-B180)</f>
        <v>3.6123930667890567E-3</v>
      </c>
      <c r="I184" s="4"/>
      <c r="J184" s="3"/>
      <c r="K184" s="1">
        <v>480</v>
      </c>
      <c r="L184" s="20">
        <f>10000000*(E176+E172+E168+E180+E184+E188+E192+E196+E200+E204+E208+E212+E216+E220+E224+E228+E232+E236+E240+E244+E248+E252+E256+E260+E264+E268+E272+E276+E280+E284+E288+E292+E296+E300+E304+E308+E312+E316+E320+E324)*O62</f>
        <v>1862250.7441751366</v>
      </c>
      <c r="M184" s="20">
        <f>(E176*H176+H172*E172+H168*E168+H180*E180+H184*E184+E188*H188+H192*E192+E196*H196+E200*H200+E204*H204+E208*H208+E212*H212+E216*H216+E220*H220+E224*H224+E228*H228+E232*H232+E236*H236+E240*H240+E244*H244+E248*H248+E252*H252+E256*H256+E260*H260+E264*H264+E268*H268+E272*H272+E276*H276+E280*H280+E284*H284+E288*H288+E292*H292+E296*H296+E300*H300+E304*H304+E308*H308+E312*H312+E316*H316+E320*H320+E324*H324)*10000000</f>
        <v>1862250.7442391189</v>
      </c>
      <c r="N184" s="17">
        <f t="shared" si="28"/>
        <v>6.3982326537370682E-5</v>
      </c>
      <c r="O184" s="10"/>
      <c r="P184" s="10"/>
    </row>
    <row r="185" spans="1:16" x14ac:dyDescent="0.25">
      <c r="A185" s="15" t="s">
        <v>41</v>
      </c>
      <c r="B185" s="5">
        <v>1916</v>
      </c>
      <c r="C185" s="5"/>
      <c r="D185" s="97">
        <f t="shared" si="27"/>
        <v>45867</v>
      </c>
      <c r="E185" s="58"/>
      <c r="F185" s="60">
        <f>G184</f>
        <v>0.53911250922179399</v>
      </c>
      <c r="G185" s="64"/>
      <c r="H185" s="108"/>
      <c r="I185" s="4"/>
      <c r="J185" s="4"/>
      <c r="K185" s="10"/>
      <c r="L185" s="10"/>
      <c r="M185" s="10"/>
      <c r="N185" s="10"/>
      <c r="O185" s="10"/>
      <c r="P185" s="10"/>
    </row>
    <row r="186" spans="1:16" x14ac:dyDescent="0.25">
      <c r="A186" s="15" t="s">
        <v>42</v>
      </c>
      <c r="B186" s="5">
        <v>2007</v>
      </c>
      <c r="C186" s="5"/>
      <c r="D186" s="97">
        <f t="shared" si="27"/>
        <v>45958</v>
      </c>
      <c r="E186" s="58"/>
      <c r="F186" s="60">
        <f>F185</f>
        <v>0.53911250922179399</v>
      </c>
      <c r="G186" s="64"/>
      <c r="H186" s="108"/>
      <c r="I186" s="4"/>
      <c r="J186" s="4"/>
      <c r="K186" s="10"/>
      <c r="L186" s="10"/>
      <c r="M186" s="10"/>
      <c r="N186" s="10"/>
      <c r="O186" s="10"/>
      <c r="P186" s="10"/>
    </row>
    <row r="187" spans="1:16" x14ac:dyDescent="0.25">
      <c r="A187" s="15" t="s">
        <v>43</v>
      </c>
      <c r="B187" s="5">
        <v>2098</v>
      </c>
      <c r="C187" s="5"/>
      <c r="D187" s="97">
        <f t="shared" si="27"/>
        <v>46049</v>
      </c>
      <c r="E187" s="58"/>
      <c r="F187" s="60">
        <f t="shared" ref="F187" si="30">F186</f>
        <v>0.53911250922179399</v>
      </c>
      <c r="G187" s="64"/>
      <c r="H187" s="108"/>
      <c r="I187" s="4"/>
      <c r="J187" s="4"/>
      <c r="K187" s="10"/>
      <c r="L187" s="10"/>
      <c r="M187" s="10"/>
      <c r="N187" s="10"/>
      <c r="O187" s="10"/>
      <c r="P187" s="10"/>
    </row>
    <row r="188" spans="1:16" x14ac:dyDescent="0.25">
      <c r="A188" s="15" t="s">
        <v>19</v>
      </c>
      <c r="B188" s="5">
        <v>2190</v>
      </c>
      <c r="C188" s="5"/>
      <c r="D188" s="97">
        <f t="shared" si="27"/>
        <v>46141</v>
      </c>
      <c r="E188" s="58">
        <f>E184/(1+G184/36000)^(B188-B184)</f>
        <v>0.98690806052929081</v>
      </c>
      <c r="F188" s="60">
        <f>F187</f>
        <v>0.53911250922179399</v>
      </c>
      <c r="G188" s="64"/>
      <c r="H188" s="106">
        <f>((1+F188/36000)^(B188-B184)-1)*360/(B188-B184)</f>
        <v>5.4058453361523233E-3</v>
      </c>
      <c r="I188" s="4"/>
      <c r="J188" s="4"/>
      <c r="K188" s="10"/>
      <c r="L188" s="10"/>
      <c r="M188" s="10"/>
      <c r="N188" s="10"/>
      <c r="O188" s="10"/>
      <c r="P188" s="10"/>
    </row>
    <row r="189" spans="1:16" x14ac:dyDescent="0.25">
      <c r="A189" s="15" t="s">
        <v>44</v>
      </c>
      <c r="B189" s="5">
        <v>2281</v>
      </c>
      <c r="C189" s="5"/>
      <c r="D189" s="97">
        <f t="shared" si="27"/>
        <v>46232</v>
      </c>
      <c r="E189" s="58"/>
      <c r="F189" s="60">
        <f>F188</f>
        <v>0.53911250922179399</v>
      </c>
      <c r="G189" s="64"/>
      <c r="H189" s="108"/>
      <c r="I189" s="4"/>
      <c r="J189" s="4"/>
      <c r="K189" s="10"/>
      <c r="L189" s="10"/>
      <c r="M189" s="10"/>
      <c r="N189" s="10"/>
      <c r="O189" s="10"/>
      <c r="P189" s="10"/>
    </row>
    <row r="190" spans="1:16" x14ac:dyDescent="0.25">
      <c r="A190" s="15" t="s">
        <v>45</v>
      </c>
      <c r="B190" s="5">
        <v>2372</v>
      </c>
      <c r="C190" s="5"/>
      <c r="D190" s="97">
        <f t="shared" si="27"/>
        <v>46323</v>
      </c>
      <c r="E190" s="58"/>
      <c r="F190" s="60">
        <f t="shared" ref="F190:F192" si="31">F189</f>
        <v>0.53911250922179399</v>
      </c>
      <c r="G190" s="64"/>
      <c r="H190" s="108"/>
      <c r="I190" s="4"/>
      <c r="J190" s="4"/>
      <c r="K190" s="10"/>
      <c r="L190" s="10"/>
      <c r="M190" s="10"/>
      <c r="N190" s="10"/>
      <c r="O190" s="10"/>
      <c r="P190" s="10"/>
    </row>
    <row r="191" spans="1:16" x14ac:dyDescent="0.25">
      <c r="A191" s="15" t="s">
        <v>46</v>
      </c>
      <c r="B191" s="5">
        <v>2463</v>
      </c>
      <c r="C191" s="5"/>
      <c r="D191" s="97">
        <f t="shared" si="27"/>
        <v>46414</v>
      </c>
      <c r="E191" s="58"/>
      <c r="F191" s="60">
        <f t="shared" si="31"/>
        <v>0.53911250922179399</v>
      </c>
      <c r="G191" s="64"/>
      <c r="H191" s="108"/>
      <c r="I191" s="4"/>
      <c r="J191" s="4"/>
      <c r="K191" s="10"/>
      <c r="L191" s="10"/>
      <c r="M191" s="10"/>
      <c r="N191" s="10"/>
      <c r="O191" s="10"/>
      <c r="P191" s="10"/>
    </row>
    <row r="192" spans="1:16" x14ac:dyDescent="0.25">
      <c r="A192" s="15" t="s">
        <v>20</v>
      </c>
      <c r="B192" s="5">
        <v>2555</v>
      </c>
      <c r="C192" s="5"/>
      <c r="D192" s="97">
        <f t="shared" si="27"/>
        <v>46506</v>
      </c>
      <c r="E192" s="58">
        <f>E188/(1+F188/36000)^(B192-B188)</f>
        <v>0.98152837562385031</v>
      </c>
      <c r="F192" s="60">
        <f t="shared" si="31"/>
        <v>0.53911250922179399</v>
      </c>
      <c r="G192" s="61">
        <v>0.67715377935281451</v>
      </c>
      <c r="H192" s="106">
        <f>((1+F192/36000)^(B192-B188)-1)*360/(B192-B188)</f>
        <v>5.4058453361523233E-3</v>
      </c>
      <c r="I192" s="4"/>
      <c r="J192" s="4"/>
      <c r="K192" s="10"/>
      <c r="L192" s="10"/>
      <c r="M192" s="10"/>
      <c r="N192" s="10"/>
      <c r="O192" s="10"/>
      <c r="P192" s="10"/>
    </row>
    <row r="193" spans="1:16" x14ac:dyDescent="0.25">
      <c r="A193" s="15" t="s">
        <v>47</v>
      </c>
      <c r="B193" s="5">
        <v>2646</v>
      </c>
      <c r="C193" s="5"/>
      <c r="D193" s="97">
        <f t="shared" si="27"/>
        <v>46597</v>
      </c>
      <c r="E193" s="58"/>
      <c r="F193" s="60">
        <f>G192</f>
        <v>0.67715377935281451</v>
      </c>
      <c r="G193" s="64"/>
      <c r="H193" s="108"/>
      <c r="I193" s="4"/>
      <c r="J193" s="4"/>
      <c r="K193" s="10"/>
      <c r="L193" s="10"/>
      <c r="M193" s="10"/>
      <c r="N193" s="10"/>
      <c r="O193" s="10"/>
      <c r="P193" s="10"/>
    </row>
    <row r="194" spans="1:16" x14ac:dyDescent="0.25">
      <c r="A194" s="15" t="s">
        <v>48</v>
      </c>
      <c r="B194" s="5">
        <v>2737</v>
      </c>
      <c r="C194" s="5"/>
      <c r="D194" s="97">
        <f t="shared" si="27"/>
        <v>46688</v>
      </c>
      <c r="E194" s="58"/>
      <c r="F194" s="60">
        <f>G192</f>
        <v>0.67715377935281451</v>
      </c>
      <c r="G194" s="64"/>
      <c r="H194" s="108"/>
      <c r="I194" s="4"/>
      <c r="J194" s="4"/>
      <c r="K194" s="10"/>
      <c r="L194" s="10"/>
      <c r="M194" s="10"/>
      <c r="N194" s="10"/>
      <c r="O194" s="10"/>
      <c r="P194" s="10"/>
    </row>
    <row r="195" spans="1:16" x14ac:dyDescent="0.25">
      <c r="A195" s="15" t="s">
        <v>49</v>
      </c>
      <c r="B195" s="5">
        <v>2828</v>
      </c>
      <c r="C195" s="5"/>
      <c r="D195" s="97">
        <f t="shared" si="27"/>
        <v>46779</v>
      </c>
      <c r="E195" s="58"/>
      <c r="F195" s="60">
        <f>G192</f>
        <v>0.67715377935281451</v>
      </c>
      <c r="G195" s="64"/>
      <c r="H195" s="108"/>
      <c r="I195" s="4"/>
      <c r="J195" s="4"/>
      <c r="K195" s="10"/>
      <c r="L195" s="10"/>
      <c r="M195" s="10"/>
      <c r="N195" s="10"/>
      <c r="O195" s="10"/>
      <c r="P195" s="10"/>
    </row>
    <row r="196" spans="1:16" x14ac:dyDescent="0.25">
      <c r="A196" s="15" t="s">
        <v>21</v>
      </c>
      <c r="B196" s="5">
        <v>2920</v>
      </c>
      <c r="C196" s="5"/>
      <c r="D196" s="97">
        <f t="shared" si="27"/>
        <v>46871</v>
      </c>
      <c r="E196" s="58">
        <f>E192/(1+G192/36000)^(B196-B192)</f>
        <v>0.97481275013102497</v>
      </c>
      <c r="F196" s="60">
        <f>F195</f>
        <v>0.67715377935281451</v>
      </c>
      <c r="G196" s="64"/>
      <c r="H196" s="106">
        <f>((1+F196/36000)^(B196-B192)-1)*360/(B196-B192)</f>
        <v>6.7947722495118081E-3</v>
      </c>
      <c r="I196" s="4"/>
      <c r="J196" s="4"/>
      <c r="K196" s="10"/>
      <c r="L196" s="10"/>
      <c r="M196" s="10"/>
      <c r="N196" s="10"/>
      <c r="O196" s="10"/>
      <c r="P196" s="10"/>
    </row>
    <row r="197" spans="1:16" x14ac:dyDescent="0.25">
      <c r="A197" s="15" t="s">
        <v>50</v>
      </c>
      <c r="B197" s="5">
        <v>3011</v>
      </c>
      <c r="C197" s="5"/>
      <c r="D197" s="97">
        <f t="shared" si="27"/>
        <v>46962</v>
      </c>
      <c r="E197" s="58"/>
      <c r="F197" s="60">
        <f>F196</f>
        <v>0.67715377935281451</v>
      </c>
      <c r="G197" s="64"/>
      <c r="H197" s="108"/>
      <c r="I197" s="4"/>
      <c r="J197" s="4"/>
      <c r="K197" s="10"/>
      <c r="L197" s="10"/>
      <c r="M197" s="10"/>
      <c r="N197" s="10"/>
      <c r="O197" s="10"/>
      <c r="P197" s="10"/>
    </row>
    <row r="198" spans="1:16" x14ac:dyDescent="0.25">
      <c r="A198" s="15" t="s">
        <v>51</v>
      </c>
      <c r="B198" s="5">
        <v>3102</v>
      </c>
      <c r="C198" s="5"/>
      <c r="D198" s="97">
        <f t="shared" si="27"/>
        <v>47053</v>
      </c>
      <c r="E198" s="58"/>
      <c r="F198" s="60">
        <f t="shared" ref="F198:F204" si="32">F197</f>
        <v>0.67715377935281451</v>
      </c>
      <c r="G198" s="64"/>
      <c r="H198" s="108"/>
      <c r="I198" s="4"/>
      <c r="J198" s="4"/>
      <c r="K198" s="10"/>
      <c r="L198" s="10"/>
      <c r="M198" s="10"/>
      <c r="N198" s="10"/>
      <c r="O198" s="10"/>
      <c r="P198" s="10"/>
    </row>
    <row r="199" spans="1:16" x14ac:dyDescent="0.25">
      <c r="A199" s="15" t="s">
        <v>52</v>
      </c>
      <c r="B199" s="5">
        <v>3193</v>
      </c>
      <c r="C199" s="5"/>
      <c r="D199" s="97">
        <f t="shared" si="27"/>
        <v>47144</v>
      </c>
      <c r="E199" s="58"/>
      <c r="F199" s="60">
        <f t="shared" si="32"/>
        <v>0.67715377935281451</v>
      </c>
      <c r="G199" s="64"/>
      <c r="H199" s="108"/>
      <c r="I199" s="4"/>
      <c r="J199" s="4"/>
      <c r="K199" s="10"/>
      <c r="L199" s="10"/>
      <c r="M199" s="10"/>
      <c r="N199" s="10"/>
      <c r="O199" s="10"/>
      <c r="P199" s="10"/>
    </row>
    <row r="200" spans="1:16" x14ac:dyDescent="0.25">
      <c r="A200" s="15" t="s">
        <v>22</v>
      </c>
      <c r="B200" s="5">
        <v>3285</v>
      </c>
      <c r="C200" s="5"/>
      <c r="D200" s="97">
        <f t="shared" si="27"/>
        <v>47236</v>
      </c>
      <c r="E200" s="58">
        <f>E196/(1+F196/36000)^(B200-B196)</f>
        <v>0.96814307300493052</v>
      </c>
      <c r="F200" s="60">
        <f t="shared" si="32"/>
        <v>0.67715377935281451</v>
      </c>
      <c r="G200" s="64"/>
      <c r="H200" s="106">
        <f>((1+F200/36000)^(B200-B196)-1)*360/(B200-B196)</f>
        <v>6.7947722495118081E-3</v>
      </c>
      <c r="I200" s="4"/>
      <c r="J200" s="4"/>
      <c r="K200" s="10"/>
      <c r="L200" s="10"/>
      <c r="M200" s="10"/>
      <c r="N200" s="10"/>
      <c r="O200" s="10"/>
      <c r="P200" s="10"/>
    </row>
    <row r="201" spans="1:16" x14ac:dyDescent="0.25">
      <c r="A201" s="15" t="s">
        <v>53</v>
      </c>
      <c r="B201" s="5">
        <v>3376</v>
      </c>
      <c r="C201" s="5"/>
      <c r="D201" s="97">
        <f t="shared" si="27"/>
        <v>47327</v>
      </c>
      <c r="E201" s="58"/>
      <c r="F201" s="60">
        <f t="shared" si="32"/>
        <v>0.67715377935281451</v>
      </c>
      <c r="G201" s="64"/>
      <c r="H201" s="108"/>
      <c r="I201" s="4"/>
      <c r="J201" s="4"/>
      <c r="K201" s="10"/>
      <c r="L201" s="10"/>
      <c r="M201" s="10"/>
      <c r="N201" s="10"/>
      <c r="O201" s="10"/>
      <c r="P201" s="10"/>
    </row>
    <row r="202" spans="1:16" x14ac:dyDescent="0.25">
      <c r="A202" s="15" t="s">
        <v>54</v>
      </c>
      <c r="B202" s="5">
        <v>3467</v>
      </c>
      <c r="C202" s="5"/>
      <c r="D202" s="97">
        <f t="shared" si="27"/>
        <v>47418</v>
      </c>
      <c r="E202" s="58"/>
      <c r="F202" s="60">
        <f t="shared" si="32"/>
        <v>0.67715377935281451</v>
      </c>
      <c r="G202" s="64"/>
      <c r="H202" s="108"/>
      <c r="I202" s="4"/>
      <c r="J202" s="4"/>
      <c r="K202" s="10"/>
      <c r="L202" s="10"/>
      <c r="M202" s="10"/>
      <c r="N202" s="10"/>
      <c r="O202" s="10"/>
      <c r="P202" s="10"/>
    </row>
    <row r="203" spans="1:16" x14ac:dyDescent="0.25">
      <c r="A203" s="15" t="s">
        <v>55</v>
      </c>
      <c r="B203" s="5">
        <v>3558</v>
      </c>
      <c r="C203" s="5"/>
      <c r="D203" s="97">
        <f t="shared" si="27"/>
        <v>47509</v>
      </c>
      <c r="E203" s="58"/>
      <c r="F203" s="60">
        <f t="shared" si="32"/>
        <v>0.67715377935281451</v>
      </c>
      <c r="G203" s="64"/>
      <c r="H203" s="108"/>
      <c r="I203" s="4"/>
      <c r="J203" s="4"/>
      <c r="K203" s="10"/>
      <c r="L203" s="10"/>
      <c r="M203" s="10"/>
      <c r="N203" s="10"/>
      <c r="O203" s="10"/>
      <c r="P203" s="10"/>
    </row>
    <row r="204" spans="1:16" x14ac:dyDescent="0.25">
      <c r="A204" s="15" t="s">
        <v>23</v>
      </c>
      <c r="B204" s="5">
        <v>3650</v>
      </c>
      <c r="C204" s="5"/>
      <c r="D204" s="97">
        <f t="shared" si="27"/>
        <v>47601</v>
      </c>
      <c r="E204" s="58">
        <f>E200/(1+F200/36000)^(B204-B200)</f>
        <v>0.96151902986645099</v>
      </c>
      <c r="F204" s="60">
        <f t="shared" si="32"/>
        <v>0.67715377935281451</v>
      </c>
      <c r="G204" s="61">
        <v>0.71008899718241525</v>
      </c>
      <c r="H204" s="106">
        <f>((1+F204/36000)^(B204-B200)-1)*360/(B204-B200)</f>
        <v>6.7947722495118081E-3</v>
      </c>
      <c r="I204" s="4"/>
      <c r="J204" s="4"/>
      <c r="K204" s="10"/>
      <c r="L204" s="10"/>
      <c r="M204" s="10"/>
      <c r="N204" s="10"/>
      <c r="O204" s="10"/>
      <c r="P204" s="10"/>
    </row>
    <row r="205" spans="1:16" x14ac:dyDescent="0.25">
      <c r="A205" s="15" t="s">
        <v>56</v>
      </c>
      <c r="B205" s="5">
        <v>3741</v>
      </c>
      <c r="C205" s="5"/>
      <c r="D205" s="97">
        <f t="shared" si="27"/>
        <v>47692</v>
      </c>
      <c r="E205" s="58"/>
      <c r="F205" s="60">
        <f>G204</f>
        <v>0.71008899718241525</v>
      </c>
      <c r="G205" s="64"/>
      <c r="H205" s="107"/>
      <c r="I205" s="4"/>
      <c r="J205" s="4"/>
      <c r="K205" s="10"/>
      <c r="L205" s="10"/>
      <c r="M205" s="10"/>
      <c r="N205" s="10"/>
      <c r="O205" s="10"/>
      <c r="P205" s="10"/>
    </row>
    <row r="206" spans="1:16" x14ac:dyDescent="0.25">
      <c r="A206" s="15" t="s">
        <v>57</v>
      </c>
      <c r="B206" s="5">
        <v>3832</v>
      </c>
      <c r="C206" s="5"/>
      <c r="D206" s="97">
        <f t="shared" si="27"/>
        <v>47783</v>
      </c>
      <c r="E206" s="58"/>
      <c r="F206" s="60">
        <f>F205</f>
        <v>0.71008899718241525</v>
      </c>
      <c r="G206" s="64"/>
      <c r="H206" s="107"/>
      <c r="I206" s="4"/>
      <c r="J206" s="4"/>
      <c r="K206" s="10"/>
      <c r="L206" s="10"/>
      <c r="M206" s="10"/>
      <c r="N206" s="10"/>
      <c r="O206" s="10"/>
      <c r="P206" s="10"/>
    </row>
    <row r="207" spans="1:16" x14ac:dyDescent="0.25">
      <c r="A207" s="15" t="s">
        <v>58</v>
      </c>
      <c r="B207" s="5">
        <v>3923</v>
      </c>
      <c r="C207" s="5"/>
      <c r="D207" s="97">
        <f t="shared" si="27"/>
        <v>47874</v>
      </c>
      <c r="E207" s="58"/>
      <c r="F207" s="60">
        <f t="shared" ref="F207:F212" si="33">F206</f>
        <v>0.71008899718241525</v>
      </c>
      <c r="G207" s="64"/>
      <c r="H207" s="108"/>
      <c r="I207" s="4"/>
      <c r="J207" s="4"/>
      <c r="K207" s="10"/>
      <c r="L207" s="10"/>
      <c r="M207" s="10"/>
      <c r="N207" s="10"/>
      <c r="O207" s="10"/>
      <c r="P207" s="10"/>
    </row>
    <row r="208" spans="1:16" x14ac:dyDescent="0.25">
      <c r="A208" s="15" t="s">
        <v>24</v>
      </c>
      <c r="B208" s="5">
        <v>4015</v>
      </c>
      <c r="C208" s="5"/>
      <c r="D208" s="97">
        <f t="shared" si="27"/>
        <v>47966</v>
      </c>
      <c r="E208" s="58">
        <f>E204/(1+G204/36000)^(B208-B204)</f>
        <v>0.95462148797609259</v>
      </c>
      <c r="F208" s="60">
        <f t="shared" si="33"/>
        <v>0.71008899718241525</v>
      </c>
      <c r="G208" s="64"/>
      <c r="H208" s="106">
        <f>((1+F208/36000)^(B208-B204)-1)*360/(B208-B204)</f>
        <v>7.126442365728884E-3</v>
      </c>
      <c r="I208" s="4"/>
      <c r="J208" s="4"/>
      <c r="K208" s="10"/>
      <c r="L208" s="10"/>
      <c r="M208" s="10"/>
      <c r="N208" s="10"/>
      <c r="O208" s="10"/>
      <c r="P208" s="10"/>
    </row>
    <row r="209" spans="1:16" x14ac:dyDescent="0.25">
      <c r="A209" s="15" t="s">
        <v>59</v>
      </c>
      <c r="B209" s="5">
        <v>4106</v>
      </c>
      <c r="C209" s="5"/>
      <c r="D209" s="97">
        <f t="shared" si="27"/>
        <v>48057</v>
      </c>
      <c r="E209" s="58"/>
      <c r="F209" s="60">
        <f t="shared" si="33"/>
        <v>0.71008899718241525</v>
      </c>
      <c r="G209" s="64"/>
      <c r="H209" s="108"/>
      <c r="I209" s="4"/>
      <c r="J209" s="4"/>
      <c r="K209" s="10"/>
      <c r="L209" s="10"/>
      <c r="M209" s="10"/>
      <c r="N209" s="10"/>
      <c r="O209" s="10"/>
      <c r="P209" s="10"/>
    </row>
    <row r="210" spans="1:16" x14ac:dyDescent="0.25">
      <c r="A210" s="15" t="s">
        <v>60</v>
      </c>
      <c r="B210" s="5">
        <v>4197</v>
      </c>
      <c r="C210" s="5"/>
      <c r="D210" s="97">
        <f t="shared" si="27"/>
        <v>48148</v>
      </c>
      <c r="E210" s="58"/>
      <c r="F210" s="60">
        <f t="shared" si="33"/>
        <v>0.71008899718241525</v>
      </c>
      <c r="G210" s="64"/>
      <c r="H210" s="108"/>
      <c r="I210" s="4"/>
      <c r="J210" s="4"/>
      <c r="K210" s="10"/>
      <c r="L210" s="10"/>
      <c r="M210" s="10"/>
      <c r="N210" s="10"/>
      <c r="O210" s="10"/>
      <c r="P210" s="10"/>
    </row>
    <row r="211" spans="1:16" x14ac:dyDescent="0.25">
      <c r="A211" s="15" t="s">
        <v>61</v>
      </c>
      <c r="B211" s="5">
        <v>4288</v>
      </c>
      <c r="C211" s="5"/>
      <c r="D211" s="97">
        <f t="shared" si="27"/>
        <v>48239</v>
      </c>
      <c r="E211" s="58"/>
      <c r="F211" s="60">
        <f t="shared" si="33"/>
        <v>0.71008899718241525</v>
      </c>
      <c r="G211" s="64"/>
      <c r="H211" s="108"/>
      <c r="I211" s="4"/>
      <c r="J211" s="4"/>
      <c r="K211" s="10"/>
      <c r="L211" s="10"/>
      <c r="M211" s="10"/>
      <c r="N211" s="10"/>
      <c r="O211" s="10"/>
      <c r="P211" s="10"/>
    </row>
    <row r="212" spans="1:16" x14ac:dyDescent="0.25">
      <c r="A212" s="15" t="s">
        <v>25</v>
      </c>
      <c r="B212" s="5">
        <v>4380</v>
      </c>
      <c r="C212" s="5"/>
      <c r="D212" s="97">
        <f t="shared" si="27"/>
        <v>48331</v>
      </c>
      <c r="E212" s="58">
        <f>E208/(1+F208/36000)^(B212-B208)</f>
        <v>0.94777342621316951</v>
      </c>
      <c r="F212" s="60">
        <f t="shared" si="33"/>
        <v>0.71008899718241525</v>
      </c>
      <c r="G212" s="61">
        <v>0.72638591156633214</v>
      </c>
      <c r="H212" s="106">
        <f>((1+F212/36000)^(B212-B208)-1)*360/(B212-B208)</f>
        <v>7.126442365728884E-3</v>
      </c>
      <c r="I212" s="4"/>
      <c r="J212" s="4"/>
      <c r="K212" s="10"/>
      <c r="L212" s="10"/>
      <c r="M212" s="10"/>
      <c r="N212" s="10"/>
      <c r="O212" s="10"/>
      <c r="P212" s="10"/>
    </row>
    <row r="213" spans="1:16" x14ac:dyDescent="0.25">
      <c r="A213" s="15" t="s">
        <v>62</v>
      </c>
      <c r="B213" s="5">
        <v>4471</v>
      </c>
      <c r="C213" s="5"/>
      <c r="D213" s="97">
        <f t="shared" si="27"/>
        <v>48422</v>
      </c>
      <c r="E213" s="58"/>
      <c r="F213" s="60">
        <f>G212</f>
        <v>0.72638591156633214</v>
      </c>
      <c r="G213" s="64"/>
      <c r="H213" s="108"/>
      <c r="I213" s="4"/>
      <c r="J213" s="4"/>
      <c r="K213" s="10"/>
      <c r="L213" s="10"/>
      <c r="M213" s="10"/>
      <c r="N213" s="10"/>
      <c r="O213" s="10"/>
      <c r="P213" s="10"/>
    </row>
    <row r="214" spans="1:16" x14ac:dyDescent="0.25">
      <c r="A214" s="15" t="s">
        <v>63</v>
      </c>
      <c r="B214" s="5">
        <v>4562</v>
      </c>
      <c r="C214" s="5"/>
      <c r="D214" s="97">
        <f t="shared" si="27"/>
        <v>48513</v>
      </c>
      <c r="E214" s="58"/>
      <c r="F214" s="60">
        <f>F213</f>
        <v>0.72638591156633214</v>
      </c>
      <c r="G214" s="64"/>
      <c r="H214" s="108"/>
      <c r="I214" s="4"/>
      <c r="J214" s="4"/>
      <c r="K214" s="10"/>
      <c r="L214" s="10"/>
      <c r="M214" s="10"/>
      <c r="N214" s="10"/>
      <c r="O214" s="10"/>
      <c r="P214" s="10"/>
    </row>
    <row r="215" spans="1:16" x14ac:dyDescent="0.25">
      <c r="A215" s="15" t="s">
        <v>64</v>
      </c>
      <c r="B215" s="5">
        <v>4653</v>
      </c>
      <c r="C215" s="5"/>
      <c r="D215" s="97">
        <f t="shared" si="27"/>
        <v>48604</v>
      </c>
      <c r="E215" s="58"/>
      <c r="F215" s="60">
        <f t="shared" ref="F215:F224" si="34">F214</f>
        <v>0.72638591156633214</v>
      </c>
      <c r="G215" s="64"/>
      <c r="H215" s="108"/>
      <c r="I215" s="4"/>
      <c r="J215" s="4"/>
      <c r="K215" s="10"/>
      <c r="L215" s="10"/>
      <c r="M215" s="10"/>
      <c r="N215" s="10"/>
      <c r="O215" s="10"/>
      <c r="P215" s="10"/>
    </row>
    <row r="216" spans="1:16" x14ac:dyDescent="0.25">
      <c r="A216" s="15" t="s">
        <v>65</v>
      </c>
      <c r="B216" s="5">
        <v>4745</v>
      </c>
      <c r="C216" s="5"/>
      <c r="D216" s="97">
        <f t="shared" si="27"/>
        <v>48696</v>
      </c>
      <c r="E216" s="58">
        <f>E212/(1+G212/36000)^(B216-B212)</f>
        <v>0.94081902590813438</v>
      </c>
      <c r="F216" s="60">
        <f t="shared" si="34"/>
        <v>0.72638591156633214</v>
      </c>
      <c r="G216" s="64"/>
      <c r="H216" s="106">
        <f>((1+F216/36000)^(B216-B212)-1)*360/(B216-B212)</f>
        <v>7.2905993167082213E-3</v>
      </c>
      <c r="I216" s="4"/>
      <c r="J216" s="4"/>
      <c r="K216" s="10"/>
      <c r="L216" s="10"/>
      <c r="M216" s="10"/>
      <c r="N216" s="10"/>
      <c r="O216" s="10"/>
      <c r="P216" s="10"/>
    </row>
    <row r="217" spans="1:16" x14ac:dyDescent="0.25">
      <c r="A217" s="15" t="s">
        <v>66</v>
      </c>
      <c r="B217" s="5">
        <v>4836</v>
      </c>
      <c r="C217" s="5"/>
      <c r="D217" s="97">
        <f t="shared" si="27"/>
        <v>48787</v>
      </c>
      <c r="E217" s="58"/>
      <c r="F217" s="60">
        <f t="shared" si="34"/>
        <v>0.72638591156633214</v>
      </c>
      <c r="G217" s="64"/>
      <c r="H217" s="108"/>
      <c r="I217" s="4"/>
      <c r="J217" s="4"/>
      <c r="K217" s="10"/>
      <c r="L217" s="10"/>
      <c r="M217" s="10"/>
      <c r="N217" s="10"/>
      <c r="O217" s="10"/>
      <c r="P217" s="10"/>
    </row>
    <row r="218" spans="1:16" x14ac:dyDescent="0.25">
      <c r="A218" s="15" t="s">
        <v>67</v>
      </c>
      <c r="B218" s="5">
        <v>4927</v>
      </c>
      <c r="C218" s="5"/>
      <c r="D218" s="97">
        <f t="shared" si="27"/>
        <v>48878</v>
      </c>
      <c r="E218" s="58"/>
      <c r="F218" s="60">
        <f t="shared" si="34"/>
        <v>0.72638591156633214</v>
      </c>
      <c r="G218" s="64"/>
      <c r="H218" s="108"/>
      <c r="I218" s="4"/>
      <c r="J218" s="4"/>
      <c r="K218" s="10"/>
      <c r="L218" s="10"/>
      <c r="M218" s="10"/>
      <c r="N218" s="10"/>
      <c r="O218" s="10"/>
      <c r="P218" s="10"/>
    </row>
    <row r="219" spans="1:16" x14ac:dyDescent="0.25">
      <c r="A219" s="15" t="s">
        <v>68</v>
      </c>
      <c r="B219" s="5">
        <v>5018</v>
      </c>
      <c r="C219" s="5"/>
      <c r="D219" s="97">
        <f t="shared" si="27"/>
        <v>48969</v>
      </c>
      <c r="E219" s="58"/>
      <c r="F219" s="60">
        <f t="shared" si="34"/>
        <v>0.72638591156633214</v>
      </c>
      <c r="G219" s="64"/>
      <c r="H219" s="108"/>
      <c r="I219" s="4"/>
      <c r="J219" s="4"/>
      <c r="K219" s="10"/>
      <c r="L219" s="10"/>
      <c r="M219" s="10"/>
      <c r="N219" s="10"/>
      <c r="O219" s="10"/>
      <c r="P219" s="10"/>
    </row>
    <row r="220" spans="1:16" x14ac:dyDescent="0.25">
      <c r="A220" s="15" t="s">
        <v>69</v>
      </c>
      <c r="B220" s="5">
        <v>5110</v>
      </c>
      <c r="C220" s="5"/>
      <c r="D220" s="97">
        <f t="shared" si="27"/>
        <v>49061</v>
      </c>
      <c r="E220" s="58">
        <f>E216/(1+F216/36000)^(B220-B216)</f>
        <v>0.93391565434294888</v>
      </c>
      <c r="F220" s="60">
        <f t="shared" si="34"/>
        <v>0.72638591156633214</v>
      </c>
      <c r="G220" s="64"/>
      <c r="H220" s="106">
        <f>((1+F220/36000)^(B220-B216)-1)*360/(B220-B216)</f>
        <v>7.2905993167082213E-3</v>
      </c>
      <c r="I220" s="4"/>
      <c r="J220" s="4"/>
      <c r="K220" s="10"/>
      <c r="L220" s="10"/>
      <c r="M220" s="10"/>
      <c r="N220" s="10"/>
      <c r="O220" s="10"/>
      <c r="P220" s="10"/>
    </row>
    <row r="221" spans="1:16" x14ac:dyDescent="0.25">
      <c r="A221" s="15" t="s">
        <v>70</v>
      </c>
      <c r="B221" s="5">
        <v>5201</v>
      </c>
      <c r="C221" s="5"/>
      <c r="D221" s="97">
        <f t="shared" si="27"/>
        <v>49152</v>
      </c>
      <c r="E221" s="58"/>
      <c r="F221" s="60">
        <f t="shared" si="34"/>
        <v>0.72638591156633214</v>
      </c>
      <c r="G221" s="64"/>
      <c r="H221" s="108"/>
      <c r="I221" s="4"/>
      <c r="J221" s="4"/>
      <c r="K221" s="10"/>
      <c r="L221" s="10"/>
      <c r="M221" s="10"/>
      <c r="N221" s="10"/>
      <c r="O221" s="10"/>
      <c r="P221" s="10"/>
    </row>
    <row r="222" spans="1:16" x14ac:dyDescent="0.25">
      <c r="A222" s="15" t="s">
        <v>71</v>
      </c>
      <c r="B222" s="5">
        <v>5292</v>
      </c>
      <c r="C222" s="5"/>
      <c r="D222" s="97">
        <f t="shared" si="27"/>
        <v>49243</v>
      </c>
      <c r="E222" s="58"/>
      <c r="F222" s="60">
        <f t="shared" si="34"/>
        <v>0.72638591156633214</v>
      </c>
      <c r="G222" s="64"/>
      <c r="H222" s="108"/>
      <c r="I222" s="4"/>
      <c r="J222" s="4"/>
      <c r="K222" s="10"/>
      <c r="L222" s="10"/>
      <c r="M222" s="10"/>
      <c r="N222" s="10"/>
      <c r="O222" s="10"/>
      <c r="P222" s="10"/>
    </row>
    <row r="223" spans="1:16" x14ac:dyDescent="0.25">
      <c r="A223" s="15" t="s">
        <v>72</v>
      </c>
      <c r="B223" s="5">
        <v>5383</v>
      </c>
      <c r="C223" s="5"/>
      <c r="D223" s="97">
        <f t="shared" si="27"/>
        <v>49334</v>
      </c>
      <c r="E223" s="58"/>
      <c r="F223" s="60">
        <f t="shared" si="34"/>
        <v>0.72638591156633214</v>
      </c>
      <c r="G223" s="64"/>
      <c r="H223" s="108"/>
      <c r="I223" s="4"/>
      <c r="J223" s="4"/>
      <c r="K223" s="10"/>
      <c r="L223" s="10"/>
      <c r="M223" s="10"/>
      <c r="N223" s="10"/>
      <c r="O223" s="10"/>
      <c r="P223" s="10"/>
    </row>
    <row r="224" spans="1:16" x14ac:dyDescent="0.25">
      <c r="A224" s="15" t="s">
        <v>27</v>
      </c>
      <c r="B224" s="5">
        <v>5475</v>
      </c>
      <c r="C224" s="5"/>
      <c r="D224" s="97">
        <f t="shared" si="27"/>
        <v>49426</v>
      </c>
      <c r="E224" s="58">
        <f>E220/(1+F220/36000)^(B224-B220)</f>
        <v>0.92706293708816179</v>
      </c>
      <c r="F224" s="60">
        <f t="shared" si="34"/>
        <v>0.72638591156633214</v>
      </c>
      <c r="G224" s="61">
        <v>0.69356694672885844</v>
      </c>
      <c r="H224" s="106">
        <f>((1+F224/36000)^(B224-B220)-1)*360/(B224-B220)</f>
        <v>7.2905993167082213E-3</v>
      </c>
      <c r="I224" s="4"/>
      <c r="J224" s="4"/>
      <c r="K224" s="10"/>
      <c r="L224" s="10"/>
      <c r="M224" s="10"/>
      <c r="N224" s="10"/>
      <c r="O224" s="10"/>
      <c r="P224" s="10"/>
    </row>
    <row r="225" spans="1:16" x14ac:dyDescent="0.25">
      <c r="A225" s="15" t="s">
        <v>73</v>
      </c>
      <c r="B225" s="5">
        <v>5566</v>
      </c>
      <c r="C225" s="5"/>
      <c r="D225" s="97">
        <f t="shared" si="27"/>
        <v>49517</v>
      </c>
      <c r="E225" s="58"/>
      <c r="F225" s="60">
        <f>G224</f>
        <v>0.69356694672885844</v>
      </c>
      <c r="G225" s="64"/>
      <c r="H225" s="108"/>
      <c r="I225" s="4"/>
      <c r="J225" s="4"/>
      <c r="K225" s="10"/>
      <c r="L225" s="10"/>
      <c r="M225" s="10"/>
      <c r="N225" s="10"/>
      <c r="O225" s="10"/>
      <c r="P225" s="10"/>
    </row>
    <row r="226" spans="1:16" x14ac:dyDescent="0.25">
      <c r="A226" s="15" t="s">
        <v>74</v>
      </c>
      <c r="B226" s="5">
        <v>5657</v>
      </c>
      <c r="C226" s="5"/>
      <c r="D226" s="97">
        <f t="shared" si="27"/>
        <v>49608</v>
      </c>
      <c r="E226" s="58"/>
      <c r="F226" s="60">
        <f>F225</f>
        <v>0.69356694672885844</v>
      </c>
      <c r="G226" s="64"/>
      <c r="H226" s="108"/>
      <c r="I226" s="4"/>
      <c r="J226" s="4"/>
      <c r="K226" s="10"/>
      <c r="L226" s="10"/>
      <c r="M226" s="10"/>
      <c r="N226" s="10"/>
      <c r="O226" s="10"/>
      <c r="P226" s="10"/>
    </row>
    <row r="227" spans="1:16" x14ac:dyDescent="0.25">
      <c r="A227" s="15" t="s">
        <v>75</v>
      </c>
      <c r="B227" s="5">
        <v>5748</v>
      </c>
      <c r="C227" s="5"/>
      <c r="D227" s="97">
        <f t="shared" si="27"/>
        <v>49699</v>
      </c>
      <c r="E227" s="58"/>
      <c r="F227" s="60">
        <f t="shared" ref="F227:F244" si="35">F226</f>
        <v>0.69356694672885844</v>
      </c>
      <c r="G227" s="64"/>
      <c r="H227" s="108"/>
      <c r="I227" s="4"/>
      <c r="J227" s="4"/>
      <c r="K227" s="10"/>
      <c r="L227" s="10"/>
      <c r="M227" s="10"/>
      <c r="N227" s="10"/>
      <c r="O227" s="10"/>
      <c r="P227" s="10"/>
    </row>
    <row r="228" spans="1:16" x14ac:dyDescent="0.25">
      <c r="A228" s="15" t="s">
        <v>76</v>
      </c>
      <c r="B228" s="5">
        <v>5840</v>
      </c>
      <c r="C228" s="5"/>
      <c r="D228" s="97">
        <f t="shared" si="27"/>
        <v>49791</v>
      </c>
      <c r="E228" s="58">
        <f>E224/(1+G224/36000)^(B228-B224)</f>
        <v>0.920566762065121</v>
      </c>
      <c r="F228" s="60">
        <f t="shared" si="35"/>
        <v>0.69356694672885844</v>
      </c>
      <c r="G228" s="64"/>
      <c r="H228" s="106">
        <f>((1+F228/36000)^(B228-B224)-1)*360/(B228-B224)</f>
        <v>6.9600452548620384E-3</v>
      </c>
      <c r="I228" s="4"/>
      <c r="J228" s="4"/>
      <c r="K228" s="10"/>
      <c r="L228" s="10"/>
      <c r="M228" s="10"/>
      <c r="N228" s="10"/>
      <c r="O228" s="10"/>
      <c r="P228" s="10"/>
    </row>
    <row r="229" spans="1:16" x14ac:dyDescent="0.25">
      <c r="A229" s="15" t="s">
        <v>77</v>
      </c>
      <c r="B229" s="5">
        <v>5931</v>
      </c>
      <c r="C229" s="5"/>
      <c r="D229" s="97">
        <f t="shared" si="27"/>
        <v>49882</v>
      </c>
      <c r="E229" s="58"/>
      <c r="F229" s="60">
        <f t="shared" si="35"/>
        <v>0.69356694672885844</v>
      </c>
      <c r="G229" s="64"/>
      <c r="H229" s="108"/>
      <c r="I229" s="4"/>
      <c r="J229" s="4"/>
      <c r="K229" s="10"/>
      <c r="L229" s="10"/>
      <c r="M229" s="10"/>
      <c r="N229" s="10"/>
      <c r="O229" s="10"/>
      <c r="P229" s="10"/>
    </row>
    <row r="230" spans="1:16" x14ac:dyDescent="0.25">
      <c r="A230" s="15" t="s">
        <v>78</v>
      </c>
      <c r="B230" s="5">
        <v>6022</v>
      </c>
      <c r="C230" s="5"/>
      <c r="D230" s="97">
        <f t="shared" si="27"/>
        <v>49973</v>
      </c>
      <c r="E230" s="58"/>
      <c r="F230" s="60">
        <f t="shared" si="35"/>
        <v>0.69356694672885844</v>
      </c>
      <c r="G230" s="64"/>
      <c r="H230" s="108"/>
      <c r="I230" s="4"/>
      <c r="J230" s="4"/>
      <c r="K230" s="10"/>
      <c r="L230" s="10"/>
      <c r="M230" s="10"/>
      <c r="N230" s="10"/>
      <c r="O230" s="10"/>
      <c r="P230" s="10"/>
    </row>
    <row r="231" spans="1:16" x14ac:dyDescent="0.25">
      <c r="A231" s="15" t="s">
        <v>79</v>
      </c>
      <c r="B231" s="5">
        <v>6113</v>
      </c>
      <c r="C231" s="5"/>
      <c r="D231" s="97">
        <f t="shared" si="27"/>
        <v>50064</v>
      </c>
      <c r="E231" s="58"/>
      <c r="F231" s="60">
        <f t="shared" si="35"/>
        <v>0.69356694672885844</v>
      </c>
      <c r="G231" s="64"/>
      <c r="H231" s="108"/>
      <c r="I231" s="4"/>
      <c r="J231" s="4"/>
      <c r="K231" s="10"/>
      <c r="L231" s="10"/>
      <c r="M231" s="10"/>
      <c r="N231" s="10"/>
      <c r="O231" s="10"/>
      <c r="P231" s="10"/>
    </row>
    <row r="232" spans="1:16" x14ac:dyDescent="0.25">
      <c r="A232" s="15" t="s">
        <v>80</v>
      </c>
      <c r="B232" s="5">
        <v>6205</v>
      </c>
      <c r="C232" s="5"/>
      <c r="D232" s="97">
        <f t="shared" si="27"/>
        <v>50156</v>
      </c>
      <c r="E232" s="58">
        <f>E228/(1+F228/36000)^(B232-B228)</f>
        <v>0.91411610745740657</v>
      </c>
      <c r="F232" s="60">
        <f t="shared" si="35"/>
        <v>0.69356694672885844</v>
      </c>
      <c r="G232" s="64"/>
      <c r="H232" s="106">
        <f>((1+F232/36000)^(B232-B228)-1)*360/(B232-B228)</f>
        <v>6.9600452548620384E-3</v>
      </c>
      <c r="I232" s="4"/>
      <c r="J232" s="4"/>
      <c r="K232" s="10"/>
      <c r="L232" s="10"/>
      <c r="M232" s="10"/>
      <c r="N232" s="10"/>
      <c r="O232" s="10"/>
      <c r="P232" s="10"/>
    </row>
    <row r="233" spans="1:16" x14ac:dyDescent="0.25">
      <c r="A233" s="15" t="s">
        <v>81</v>
      </c>
      <c r="B233" s="5">
        <v>6296</v>
      </c>
      <c r="C233" s="5"/>
      <c r="D233" s="97">
        <f t="shared" si="27"/>
        <v>50247</v>
      </c>
      <c r="E233" s="58"/>
      <c r="F233" s="60">
        <f t="shared" si="35"/>
        <v>0.69356694672885844</v>
      </c>
      <c r="G233" s="64"/>
      <c r="H233" s="108"/>
      <c r="I233" s="4"/>
      <c r="J233" s="4"/>
      <c r="K233" s="10"/>
      <c r="L233" s="10"/>
      <c r="M233" s="10"/>
      <c r="N233" s="10"/>
      <c r="O233" s="10"/>
      <c r="P233" s="10"/>
    </row>
    <row r="234" spans="1:16" x14ac:dyDescent="0.25">
      <c r="A234" s="15" t="s">
        <v>82</v>
      </c>
      <c r="B234" s="5">
        <v>6387</v>
      </c>
      <c r="C234" s="5"/>
      <c r="D234" s="97">
        <f t="shared" si="27"/>
        <v>50338</v>
      </c>
      <c r="E234" s="58"/>
      <c r="F234" s="60">
        <f t="shared" si="35"/>
        <v>0.69356694672885844</v>
      </c>
      <c r="G234" s="64"/>
      <c r="H234" s="108"/>
      <c r="I234" s="4"/>
      <c r="J234" s="4"/>
      <c r="K234" s="10"/>
      <c r="L234" s="10"/>
      <c r="M234" s="10"/>
      <c r="N234" s="10"/>
      <c r="O234" s="10"/>
      <c r="P234" s="10"/>
    </row>
    <row r="235" spans="1:16" x14ac:dyDescent="0.25">
      <c r="A235" s="15" t="s">
        <v>83</v>
      </c>
      <c r="B235" s="5">
        <v>6478</v>
      </c>
      <c r="C235" s="5"/>
      <c r="D235" s="97">
        <f t="shared" si="27"/>
        <v>50429</v>
      </c>
      <c r="E235" s="58"/>
      <c r="F235" s="60">
        <f t="shared" si="35"/>
        <v>0.69356694672885844</v>
      </c>
      <c r="G235" s="64"/>
      <c r="H235" s="108"/>
      <c r="I235" s="4"/>
      <c r="J235" s="4"/>
      <c r="K235" s="10"/>
      <c r="L235" s="10"/>
      <c r="M235" s="10"/>
      <c r="N235" s="10"/>
      <c r="O235" s="10"/>
      <c r="P235" s="10"/>
    </row>
    <row r="236" spans="1:16" x14ac:dyDescent="0.25">
      <c r="A236" s="15" t="s">
        <v>84</v>
      </c>
      <c r="B236" s="5">
        <v>6570</v>
      </c>
      <c r="C236" s="5"/>
      <c r="D236" s="97">
        <f t="shared" ref="D236:D299" si="36">$D$2+B236</f>
        <v>50521</v>
      </c>
      <c r="E236" s="58">
        <f>E232/(1+F232/36000)^(B236-B232)</f>
        <v>0.90771065429143738</v>
      </c>
      <c r="F236" s="60">
        <f t="shared" si="35"/>
        <v>0.69356694672885844</v>
      </c>
      <c r="G236" s="64"/>
      <c r="H236" s="106">
        <f>((1+F236/36000)^(B236-B232)-1)*360/(B236-B232)</f>
        <v>6.9600452548620384E-3</v>
      </c>
      <c r="I236" s="4"/>
      <c r="J236" s="4"/>
      <c r="K236" s="10"/>
      <c r="L236" s="10"/>
      <c r="M236" s="10"/>
      <c r="N236" s="10"/>
      <c r="O236" s="10"/>
      <c r="P236" s="10"/>
    </row>
    <row r="237" spans="1:16" x14ac:dyDescent="0.25">
      <c r="A237" s="15" t="s">
        <v>85</v>
      </c>
      <c r="B237" s="5">
        <v>6661</v>
      </c>
      <c r="C237" s="5"/>
      <c r="D237" s="97">
        <f t="shared" si="36"/>
        <v>50612</v>
      </c>
      <c r="E237" s="58"/>
      <c r="F237" s="60">
        <f t="shared" si="35"/>
        <v>0.69356694672885844</v>
      </c>
      <c r="G237" s="64"/>
      <c r="H237" s="108"/>
      <c r="I237" s="4"/>
      <c r="J237" s="4"/>
      <c r="K237" s="10"/>
      <c r="L237" s="10"/>
      <c r="M237" s="10"/>
      <c r="N237" s="10"/>
      <c r="O237" s="10"/>
      <c r="P237" s="10"/>
    </row>
    <row r="238" spans="1:16" x14ac:dyDescent="0.25">
      <c r="A238" s="15" t="s">
        <v>86</v>
      </c>
      <c r="B238" s="5">
        <v>6752</v>
      </c>
      <c r="C238" s="5"/>
      <c r="D238" s="97">
        <f t="shared" si="36"/>
        <v>50703</v>
      </c>
      <c r="E238" s="58"/>
      <c r="F238" s="60">
        <f t="shared" si="35"/>
        <v>0.69356694672885844</v>
      </c>
      <c r="G238" s="64"/>
      <c r="H238" s="108"/>
      <c r="I238" s="4"/>
      <c r="J238" s="4"/>
      <c r="K238" s="10"/>
      <c r="L238" s="10"/>
      <c r="M238" s="10"/>
      <c r="N238" s="10"/>
      <c r="O238" s="10"/>
      <c r="P238" s="10"/>
    </row>
    <row r="239" spans="1:16" x14ac:dyDescent="0.25">
      <c r="A239" s="15" t="s">
        <v>87</v>
      </c>
      <c r="B239" s="5">
        <v>6843</v>
      </c>
      <c r="C239" s="5"/>
      <c r="D239" s="97">
        <f t="shared" si="36"/>
        <v>50794</v>
      </c>
      <c r="E239" s="58"/>
      <c r="F239" s="60">
        <f t="shared" si="35"/>
        <v>0.69356694672885844</v>
      </c>
      <c r="G239" s="64"/>
      <c r="H239" s="108"/>
      <c r="I239" s="4"/>
      <c r="J239" s="4"/>
      <c r="K239" s="10"/>
      <c r="L239" s="10"/>
      <c r="M239" s="10"/>
      <c r="N239" s="10"/>
      <c r="O239" s="10"/>
      <c r="P239" s="10"/>
    </row>
    <row r="240" spans="1:16" x14ac:dyDescent="0.25">
      <c r="A240" s="15" t="s">
        <v>88</v>
      </c>
      <c r="B240" s="5">
        <v>6935</v>
      </c>
      <c r="C240" s="5"/>
      <c r="D240" s="97">
        <f t="shared" si="36"/>
        <v>50886</v>
      </c>
      <c r="E240" s="58">
        <f>E236/(1+F236/36000)^(B240-B236)</f>
        <v>0.9013500858287643</v>
      </c>
      <c r="F240" s="60">
        <f t="shared" si="35"/>
        <v>0.69356694672885844</v>
      </c>
      <c r="G240" s="64"/>
      <c r="H240" s="106">
        <f>((1+F240/36000)^(B240-B236)-1)*360/(B240-B236)</f>
        <v>6.9600452548620384E-3</v>
      </c>
      <c r="I240" s="4"/>
      <c r="J240" s="4"/>
      <c r="K240" s="10"/>
      <c r="L240" s="10"/>
      <c r="M240" s="10"/>
      <c r="N240" s="10"/>
      <c r="O240" s="10"/>
      <c r="P240" s="10"/>
    </row>
    <row r="241" spans="1:16" x14ac:dyDescent="0.25">
      <c r="A241" s="15" t="s">
        <v>89</v>
      </c>
      <c r="B241" s="5">
        <v>7026</v>
      </c>
      <c r="C241" s="5"/>
      <c r="D241" s="97">
        <f t="shared" si="36"/>
        <v>50977</v>
      </c>
      <c r="E241" s="58"/>
      <c r="F241" s="60">
        <f t="shared" si="35"/>
        <v>0.69356694672885844</v>
      </c>
      <c r="G241" s="64"/>
      <c r="H241" s="108"/>
      <c r="I241" s="4"/>
      <c r="J241" s="4"/>
      <c r="K241" s="10"/>
      <c r="L241" s="10"/>
      <c r="M241" s="10"/>
      <c r="N241" s="10"/>
      <c r="O241" s="10"/>
      <c r="P241" s="10"/>
    </row>
    <row r="242" spans="1:16" x14ac:dyDescent="0.25">
      <c r="A242" s="15" t="s">
        <v>90</v>
      </c>
      <c r="B242" s="5">
        <v>7117</v>
      </c>
      <c r="C242" s="5"/>
      <c r="D242" s="97">
        <f t="shared" si="36"/>
        <v>51068</v>
      </c>
      <c r="E242" s="58"/>
      <c r="F242" s="60">
        <f t="shared" si="35"/>
        <v>0.69356694672885844</v>
      </c>
      <c r="G242" s="64"/>
      <c r="H242" s="108"/>
      <c r="I242" s="4"/>
      <c r="J242" s="4"/>
      <c r="K242" s="10"/>
      <c r="L242" s="10"/>
      <c r="M242" s="10"/>
      <c r="N242" s="10"/>
      <c r="O242" s="10"/>
      <c r="P242" s="10"/>
    </row>
    <row r="243" spans="1:16" x14ac:dyDescent="0.25">
      <c r="A243" s="15" t="s">
        <v>91</v>
      </c>
      <c r="B243" s="5">
        <v>7208</v>
      </c>
      <c r="C243" s="5"/>
      <c r="D243" s="97">
        <f t="shared" si="36"/>
        <v>51159</v>
      </c>
      <c r="E243" s="58"/>
      <c r="F243" s="60">
        <f t="shared" si="35"/>
        <v>0.69356694672885844</v>
      </c>
      <c r="G243" s="64"/>
      <c r="H243" s="108"/>
      <c r="I243" s="4"/>
      <c r="J243" s="4"/>
      <c r="K243" s="10"/>
      <c r="L243" s="10"/>
      <c r="M243" s="10"/>
      <c r="N243" s="10"/>
      <c r="O243" s="10"/>
      <c r="P243" s="10"/>
    </row>
    <row r="244" spans="1:16" x14ac:dyDescent="0.25">
      <c r="A244" s="15" t="s">
        <v>29</v>
      </c>
      <c r="B244" s="5">
        <v>7300</v>
      </c>
      <c r="C244" s="5"/>
      <c r="D244" s="97">
        <f t="shared" si="36"/>
        <v>51251</v>
      </c>
      <c r="E244" s="58">
        <f>E240/(1+F240/36000)^(B244-B240)</f>
        <v>0.89503408755040825</v>
      </c>
      <c r="F244" s="60">
        <f t="shared" si="35"/>
        <v>0.69356694672885844</v>
      </c>
      <c r="G244" s="61">
        <v>0.60109372893241486</v>
      </c>
      <c r="H244" s="106">
        <f>((1+F244/36000)^(B244-B240)-1)*360/(B244-B240)</f>
        <v>6.9600452548620384E-3</v>
      </c>
      <c r="I244" s="4"/>
      <c r="J244" s="4"/>
      <c r="K244" s="10"/>
      <c r="L244" s="10"/>
      <c r="M244" s="10"/>
      <c r="N244" s="10"/>
      <c r="O244" s="10"/>
      <c r="P244" s="10"/>
    </row>
    <row r="245" spans="1:16" x14ac:dyDescent="0.25">
      <c r="A245" s="15" t="s">
        <v>92</v>
      </c>
      <c r="B245" s="5">
        <v>7391</v>
      </c>
      <c r="C245" s="5"/>
      <c r="D245" s="97">
        <f t="shared" si="36"/>
        <v>51342</v>
      </c>
      <c r="E245" s="58"/>
      <c r="F245" s="60">
        <f>G244</f>
        <v>0.60109372893241486</v>
      </c>
      <c r="G245" s="64"/>
      <c r="H245" s="108"/>
      <c r="I245" s="4"/>
      <c r="J245" s="4"/>
      <c r="K245" s="10"/>
      <c r="L245" s="10"/>
      <c r="M245" s="10"/>
      <c r="N245" s="10"/>
      <c r="O245" s="10"/>
      <c r="P245" s="10"/>
    </row>
    <row r="246" spans="1:16" x14ac:dyDescent="0.25">
      <c r="A246" s="15" t="s">
        <v>93</v>
      </c>
      <c r="B246" s="5">
        <v>7482</v>
      </c>
      <c r="C246" s="5"/>
      <c r="D246" s="97">
        <f t="shared" si="36"/>
        <v>51433</v>
      </c>
      <c r="E246" s="58"/>
      <c r="F246" s="60">
        <f>F245</f>
        <v>0.60109372893241486</v>
      </c>
      <c r="G246" s="64"/>
      <c r="H246" s="108"/>
      <c r="I246" s="4"/>
      <c r="J246" s="4"/>
      <c r="K246" s="10"/>
      <c r="L246" s="10"/>
      <c r="M246" s="10"/>
      <c r="N246" s="10"/>
      <c r="O246" s="10"/>
      <c r="P246" s="10"/>
    </row>
    <row r="247" spans="1:16" x14ac:dyDescent="0.25">
      <c r="A247" s="15" t="s">
        <v>94</v>
      </c>
      <c r="B247" s="5">
        <v>7573</v>
      </c>
      <c r="C247" s="5"/>
      <c r="D247" s="97">
        <f t="shared" si="36"/>
        <v>51524</v>
      </c>
      <c r="E247" s="58"/>
      <c r="F247" s="60">
        <f t="shared" ref="F247:F284" si="37">F246</f>
        <v>0.60109372893241486</v>
      </c>
      <c r="G247" s="64"/>
      <c r="H247" s="108"/>
      <c r="I247" s="4"/>
      <c r="J247" s="4"/>
      <c r="K247" s="10"/>
      <c r="L247" s="10"/>
      <c r="M247" s="10"/>
      <c r="N247" s="10"/>
      <c r="O247" s="10"/>
      <c r="P247" s="10"/>
    </row>
    <row r="248" spans="1:16" x14ac:dyDescent="0.25">
      <c r="A248" s="15" t="s">
        <v>95</v>
      </c>
      <c r="B248" s="5">
        <v>7665</v>
      </c>
      <c r="C248" s="5"/>
      <c r="D248" s="97">
        <f t="shared" si="36"/>
        <v>51616</v>
      </c>
      <c r="E248" s="58">
        <f>E244/(1+G244/36000)^(B248-B244)</f>
        <v>0.88959600486087287</v>
      </c>
      <c r="F248" s="60">
        <f t="shared" si="37"/>
        <v>0.60109372893241486</v>
      </c>
      <c r="G248" s="64"/>
      <c r="H248" s="106">
        <f>((1+F248/36000)^(B248-B244)-1)*360/(B248-B244)</f>
        <v>6.0292406629634922E-3</v>
      </c>
      <c r="I248" s="4"/>
      <c r="J248" s="4"/>
      <c r="K248" s="10"/>
      <c r="L248" s="10"/>
      <c r="M248" s="10"/>
      <c r="N248" s="10"/>
      <c r="O248" s="10"/>
      <c r="P248" s="10"/>
    </row>
    <row r="249" spans="1:16" x14ac:dyDescent="0.25">
      <c r="A249" s="15" t="s">
        <v>96</v>
      </c>
      <c r="B249" s="5">
        <v>7756</v>
      </c>
      <c r="C249" s="5"/>
      <c r="D249" s="97">
        <f t="shared" si="36"/>
        <v>51707</v>
      </c>
      <c r="E249" s="58"/>
      <c r="F249" s="60">
        <f t="shared" si="37"/>
        <v>0.60109372893241486</v>
      </c>
      <c r="G249" s="64"/>
      <c r="H249" s="108"/>
      <c r="I249" s="4"/>
      <c r="J249" s="4"/>
      <c r="K249" s="10"/>
      <c r="L249" s="10"/>
      <c r="M249" s="10"/>
      <c r="N249" s="10"/>
      <c r="O249" s="10"/>
      <c r="P249" s="10"/>
    </row>
    <row r="250" spans="1:16" x14ac:dyDescent="0.25">
      <c r="A250" s="15" t="s">
        <v>97</v>
      </c>
      <c r="B250" s="5">
        <v>7847</v>
      </c>
      <c r="C250" s="5"/>
      <c r="D250" s="97">
        <f t="shared" si="36"/>
        <v>51798</v>
      </c>
      <c r="E250" s="58"/>
      <c r="F250" s="60">
        <f t="shared" si="37"/>
        <v>0.60109372893241486</v>
      </c>
      <c r="G250" s="64"/>
      <c r="H250" s="108"/>
      <c r="I250" s="4"/>
      <c r="J250" s="4"/>
      <c r="K250" s="10"/>
      <c r="L250" s="10"/>
      <c r="M250" s="10"/>
      <c r="N250" s="10"/>
      <c r="O250" s="10"/>
      <c r="P250" s="10"/>
    </row>
    <row r="251" spans="1:16" x14ac:dyDescent="0.25">
      <c r="A251" s="15" t="s">
        <v>98</v>
      </c>
      <c r="B251" s="5">
        <v>7938</v>
      </c>
      <c r="C251" s="5"/>
      <c r="D251" s="97">
        <f t="shared" si="36"/>
        <v>51889</v>
      </c>
      <c r="E251" s="58"/>
      <c r="F251" s="60">
        <f t="shared" si="37"/>
        <v>0.60109372893241486</v>
      </c>
      <c r="G251" s="64"/>
      <c r="H251" s="108"/>
      <c r="I251" s="4"/>
      <c r="J251" s="4"/>
      <c r="K251" s="10"/>
      <c r="L251" s="10"/>
      <c r="M251" s="10"/>
      <c r="N251" s="10"/>
      <c r="O251" s="10"/>
      <c r="P251" s="10"/>
    </row>
    <row r="252" spans="1:16" x14ac:dyDescent="0.25">
      <c r="A252" s="15" t="s">
        <v>99</v>
      </c>
      <c r="B252" s="5">
        <v>8030</v>
      </c>
      <c r="C252" s="5"/>
      <c r="D252" s="97">
        <f t="shared" si="36"/>
        <v>51981</v>
      </c>
      <c r="E252" s="58">
        <f>E248/(1+F248/36000)^(B252-B248)</f>
        <v>0.88419096308424749</v>
      </c>
      <c r="F252" s="60">
        <f t="shared" si="37"/>
        <v>0.60109372893241486</v>
      </c>
      <c r="G252" s="64"/>
      <c r="H252" s="106">
        <f>((1+F252/36000)^(B252-B248)-1)*360/(B252-B248)</f>
        <v>6.0292406629634922E-3</v>
      </c>
      <c r="I252" s="4"/>
      <c r="J252" s="4"/>
      <c r="K252" s="10"/>
      <c r="L252" s="10"/>
      <c r="M252" s="10"/>
      <c r="N252" s="10"/>
      <c r="O252" s="10"/>
      <c r="P252" s="10"/>
    </row>
    <row r="253" spans="1:16" x14ac:dyDescent="0.25">
      <c r="A253" s="15" t="s">
        <v>100</v>
      </c>
      <c r="B253" s="5">
        <v>8121</v>
      </c>
      <c r="C253" s="5"/>
      <c r="D253" s="97">
        <f t="shared" si="36"/>
        <v>52072</v>
      </c>
      <c r="E253" s="58"/>
      <c r="F253" s="60">
        <f t="shared" si="37"/>
        <v>0.60109372893241486</v>
      </c>
      <c r="G253" s="64"/>
      <c r="H253" s="108"/>
      <c r="I253" s="4"/>
      <c r="J253" s="4"/>
      <c r="K253" s="10"/>
      <c r="L253" s="10"/>
      <c r="M253" s="10"/>
      <c r="N253" s="10"/>
      <c r="O253" s="10"/>
      <c r="P253" s="10"/>
    </row>
    <row r="254" spans="1:16" x14ac:dyDescent="0.25">
      <c r="A254" s="15" t="s">
        <v>101</v>
      </c>
      <c r="B254" s="5">
        <v>8212</v>
      </c>
      <c r="C254" s="5"/>
      <c r="D254" s="97">
        <f t="shared" si="36"/>
        <v>52163</v>
      </c>
      <c r="E254" s="58"/>
      <c r="F254" s="60">
        <f t="shared" si="37"/>
        <v>0.60109372893241486</v>
      </c>
      <c r="G254" s="64"/>
      <c r="H254" s="108"/>
      <c r="I254" s="4"/>
      <c r="J254" s="4"/>
      <c r="K254" s="10"/>
      <c r="L254" s="10"/>
      <c r="M254" s="10"/>
      <c r="N254" s="10"/>
      <c r="O254" s="10"/>
      <c r="P254" s="10"/>
    </row>
    <row r="255" spans="1:16" x14ac:dyDescent="0.25">
      <c r="A255" s="15" t="s">
        <v>102</v>
      </c>
      <c r="B255" s="5">
        <v>8303</v>
      </c>
      <c r="C255" s="5"/>
      <c r="D255" s="97">
        <f t="shared" si="36"/>
        <v>52254</v>
      </c>
      <c r="E255" s="58"/>
      <c r="F255" s="60">
        <f t="shared" si="37"/>
        <v>0.60109372893241486</v>
      </c>
      <c r="G255" s="64"/>
      <c r="H255" s="108"/>
      <c r="I255" s="4"/>
      <c r="J255" s="4"/>
      <c r="K255" s="10"/>
      <c r="L255" s="10"/>
      <c r="M255" s="10"/>
      <c r="N255" s="10"/>
      <c r="O255" s="10"/>
      <c r="P255" s="10"/>
    </row>
    <row r="256" spans="1:16" x14ac:dyDescent="0.25">
      <c r="A256" s="15" t="s">
        <v>103</v>
      </c>
      <c r="B256" s="5">
        <v>8395</v>
      </c>
      <c r="C256" s="5"/>
      <c r="D256" s="97">
        <f t="shared" si="36"/>
        <v>52346</v>
      </c>
      <c r="E256" s="58">
        <f>E252/(1+F252/36000)^(B256-B252)</f>
        <v>0.87881876146927695</v>
      </c>
      <c r="F256" s="60">
        <f t="shared" si="37"/>
        <v>0.60109372893241486</v>
      </c>
      <c r="G256" s="64"/>
      <c r="H256" s="106">
        <f>((1+F256/36000)^(B256-B252)-1)*360/(B256-B252)</f>
        <v>6.0292406629634922E-3</v>
      </c>
      <c r="I256" s="4"/>
      <c r="J256" s="4"/>
      <c r="K256" s="10"/>
      <c r="L256" s="10"/>
      <c r="M256" s="10"/>
      <c r="N256" s="10"/>
      <c r="O256" s="10"/>
      <c r="P256" s="10"/>
    </row>
    <row r="257" spans="1:16" x14ac:dyDescent="0.25">
      <c r="A257" s="15" t="s">
        <v>104</v>
      </c>
      <c r="B257" s="5">
        <v>8486</v>
      </c>
      <c r="C257" s="5"/>
      <c r="D257" s="97">
        <f t="shared" si="36"/>
        <v>52437</v>
      </c>
      <c r="E257" s="58"/>
      <c r="F257" s="60">
        <f t="shared" si="37"/>
        <v>0.60109372893241486</v>
      </c>
      <c r="G257" s="64"/>
      <c r="H257" s="108"/>
      <c r="I257" s="4"/>
      <c r="J257" s="4"/>
      <c r="K257" s="10"/>
      <c r="L257" s="10"/>
      <c r="M257" s="10"/>
      <c r="N257" s="10"/>
      <c r="O257" s="10"/>
      <c r="P257" s="10"/>
    </row>
    <row r="258" spans="1:16" x14ac:dyDescent="0.25">
      <c r="A258" s="15" t="s">
        <v>105</v>
      </c>
      <c r="B258" s="5">
        <v>8577</v>
      </c>
      <c r="C258" s="5"/>
      <c r="D258" s="97">
        <f t="shared" si="36"/>
        <v>52528</v>
      </c>
      <c r="E258" s="58"/>
      <c r="F258" s="60">
        <f t="shared" si="37"/>
        <v>0.60109372893241486</v>
      </c>
      <c r="G258" s="64"/>
      <c r="H258" s="108"/>
      <c r="I258" s="4"/>
      <c r="J258" s="4"/>
      <c r="K258" s="10"/>
      <c r="L258" s="10"/>
      <c r="M258" s="10"/>
      <c r="N258" s="10"/>
      <c r="O258" s="10"/>
      <c r="P258" s="10"/>
    </row>
    <row r="259" spans="1:16" x14ac:dyDescent="0.25">
      <c r="A259" s="15" t="s">
        <v>106</v>
      </c>
      <c r="B259" s="5">
        <v>8668</v>
      </c>
      <c r="C259" s="5"/>
      <c r="D259" s="97">
        <f t="shared" si="36"/>
        <v>52619</v>
      </c>
      <c r="E259" s="58"/>
      <c r="F259" s="60">
        <f t="shared" si="37"/>
        <v>0.60109372893241486</v>
      </c>
      <c r="G259" s="64"/>
      <c r="H259" s="108"/>
      <c r="I259" s="4"/>
      <c r="J259" s="4"/>
      <c r="K259" s="10"/>
      <c r="L259" s="10"/>
      <c r="M259" s="10"/>
      <c r="N259" s="10"/>
      <c r="O259" s="10"/>
      <c r="P259" s="10"/>
    </row>
    <row r="260" spans="1:16" x14ac:dyDescent="0.25">
      <c r="A260" s="15" t="s">
        <v>107</v>
      </c>
      <c r="B260" s="5">
        <v>8760</v>
      </c>
      <c r="C260" s="5"/>
      <c r="D260" s="97">
        <f t="shared" si="36"/>
        <v>52711</v>
      </c>
      <c r="E260" s="58">
        <f>E256/(1+F256/36000)^(B260-B256)</f>
        <v>0.87347920048443817</v>
      </c>
      <c r="F260" s="60">
        <f t="shared" si="37"/>
        <v>0.60109372893241486</v>
      </c>
      <c r="G260" s="64"/>
      <c r="H260" s="106">
        <f>((1+F260/36000)^(B260-B256)-1)*360/(B260-B256)</f>
        <v>6.0292406629634922E-3</v>
      </c>
      <c r="I260" s="4"/>
      <c r="J260" s="4"/>
      <c r="K260" s="10"/>
      <c r="L260" s="10"/>
      <c r="M260" s="10"/>
      <c r="N260" s="10"/>
      <c r="O260" s="10"/>
      <c r="P260" s="10"/>
    </row>
    <row r="261" spans="1:16" x14ac:dyDescent="0.25">
      <c r="A261" s="15" t="s">
        <v>108</v>
      </c>
      <c r="B261" s="5">
        <v>8851</v>
      </c>
      <c r="C261" s="5"/>
      <c r="D261" s="97">
        <f t="shared" si="36"/>
        <v>52802</v>
      </c>
      <c r="E261" s="58"/>
      <c r="F261" s="60">
        <f t="shared" si="37"/>
        <v>0.60109372893241486</v>
      </c>
      <c r="G261" s="64"/>
      <c r="H261" s="108"/>
      <c r="I261" s="4"/>
      <c r="J261" s="4"/>
      <c r="K261" s="10"/>
      <c r="L261" s="10"/>
      <c r="M261" s="10"/>
      <c r="N261" s="10"/>
      <c r="O261" s="10"/>
      <c r="P261" s="10"/>
    </row>
    <row r="262" spans="1:16" x14ac:dyDescent="0.25">
      <c r="A262" s="15" t="s">
        <v>109</v>
      </c>
      <c r="B262" s="5">
        <v>8942</v>
      </c>
      <c r="C262" s="5"/>
      <c r="D262" s="97">
        <f t="shared" si="36"/>
        <v>52893</v>
      </c>
      <c r="E262" s="58"/>
      <c r="F262" s="60">
        <f t="shared" si="37"/>
        <v>0.60109372893241486</v>
      </c>
      <c r="G262" s="64"/>
      <c r="H262" s="108"/>
      <c r="I262" s="4"/>
      <c r="J262" s="4"/>
      <c r="K262" s="10"/>
      <c r="L262" s="10"/>
      <c r="M262" s="10"/>
      <c r="N262" s="10"/>
      <c r="O262" s="10"/>
      <c r="P262" s="10"/>
    </row>
    <row r="263" spans="1:16" x14ac:dyDescent="0.25">
      <c r="A263" s="15" t="s">
        <v>110</v>
      </c>
      <c r="B263" s="5">
        <v>9033</v>
      </c>
      <c r="C263" s="5"/>
      <c r="D263" s="97">
        <f t="shared" si="36"/>
        <v>52984</v>
      </c>
      <c r="E263" s="58"/>
      <c r="F263" s="60">
        <f t="shared" si="37"/>
        <v>0.60109372893241486</v>
      </c>
      <c r="G263" s="64"/>
      <c r="H263" s="108"/>
      <c r="I263" s="4"/>
      <c r="J263" s="4"/>
      <c r="K263" s="10"/>
      <c r="L263" s="10"/>
      <c r="M263" s="10"/>
      <c r="N263" s="10"/>
      <c r="O263" s="10"/>
      <c r="P263" s="10"/>
    </row>
    <row r="264" spans="1:16" x14ac:dyDescent="0.25">
      <c r="A264" s="15" t="s">
        <v>31</v>
      </c>
      <c r="B264" s="5">
        <v>9125</v>
      </c>
      <c r="C264" s="5"/>
      <c r="D264" s="97">
        <f t="shared" si="36"/>
        <v>53076</v>
      </c>
      <c r="E264" s="58">
        <f>E260/(1+F260/36000)^(B264-B260)</f>
        <v>0.86817208181052952</v>
      </c>
      <c r="F264" s="60">
        <f t="shared" si="37"/>
        <v>0.60109372893241486</v>
      </c>
      <c r="G264" s="64"/>
      <c r="H264" s="106">
        <f>((1+F264/36000)^(B264-B260)-1)*360/(B264-B260)</f>
        <v>6.0292406629634922E-3</v>
      </c>
      <c r="I264" s="4"/>
      <c r="J264" s="4"/>
      <c r="K264" s="10"/>
      <c r="L264" s="10"/>
      <c r="M264" s="10"/>
      <c r="N264" s="10"/>
      <c r="O264" s="10"/>
      <c r="P264" s="10"/>
    </row>
    <row r="265" spans="1:16" x14ac:dyDescent="0.25">
      <c r="A265" s="15" t="s">
        <v>111</v>
      </c>
      <c r="B265" s="5">
        <v>9216</v>
      </c>
      <c r="C265" s="5"/>
      <c r="D265" s="97">
        <f t="shared" si="36"/>
        <v>53167</v>
      </c>
      <c r="E265" s="58"/>
      <c r="F265" s="60">
        <f t="shared" si="37"/>
        <v>0.60109372893241486</v>
      </c>
      <c r="G265" s="64"/>
      <c r="H265" s="108"/>
      <c r="I265" s="4"/>
      <c r="J265" s="4"/>
      <c r="K265" s="10"/>
      <c r="L265" s="10"/>
      <c r="M265" s="10"/>
      <c r="N265" s="10"/>
      <c r="O265" s="10"/>
      <c r="P265" s="10"/>
    </row>
    <row r="266" spans="1:16" x14ac:dyDescent="0.25">
      <c r="A266" s="15" t="s">
        <v>112</v>
      </c>
      <c r="B266" s="5">
        <v>9307</v>
      </c>
      <c r="C266" s="5"/>
      <c r="D266" s="97">
        <f t="shared" si="36"/>
        <v>53258</v>
      </c>
      <c r="E266" s="58"/>
      <c r="F266" s="60">
        <f t="shared" si="37"/>
        <v>0.60109372893241486</v>
      </c>
      <c r="G266" s="64"/>
      <c r="H266" s="108"/>
      <c r="I266" s="4"/>
      <c r="J266" s="4"/>
      <c r="K266" s="10"/>
      <c r="L266" s="10"/>
      <c r="M266" s="10"/>
      <c r="N266" s="10"/>
      <c r="O266" s="10"/>
      <c r="P266" s="10"/>
    </row>
    <row r="267" spans="1:16" x14ac:dyDescent="0.25">
      <c r="A267" s="15" t="s">
        <v>113</v>
      </c>
      <c r="B267" s="5">
        <v>9398</v>
      </c>
      <c r="C267" s="5"/>
      <c r="D267" s="97">
        <f t="shared" si="36"/>
        <v>53349</v>
      </c>
      <c r="E267" s="58"/>
      <c r="F267" s="60">
        <f t="shared" si="37"/>
        <v>0.60109372893241486</v>
      </c>
      <c r="G267" s="64"/>
      <c r="H267" s="108"/>
      <c r="I267" s="4"/>
      <c r="J267" s="4"/>
      <c r="K267" s="10"/>
      <c r="L267" s="10"/>
      <c r="M267" s="10"/>
      <c r="N267" s="10"/>
      <c r="O267" s="10"/>
      <c r="P267" s="10"/>
    </row>
    <row r="268" spans="1:16" x14ac:dyDescent="0.25">
      <c r="A268" s="15" t="s">
        <v>114</v>
      </c>
      <c r="B268" s="5">
        <v>9490</v>
      </c>
      <c r="C268" s="5"/>
      <c r="D268" s="97">
        <f t="shared" si="36"/>
        <v>53441</v>
      </c>
      <c r="E268" s="58">
        <f>E264/(1+F264/36000)^(B268-B264)</f>
        <v>0.86289720833330474</v>
      </c>
      <c r="F268" s="60">
        <f t="shared" si="37"/>
        <v>0.60109372893241486</v>
      </c>
      <c r="G268" s="64"/>
      <c r="H268" s="106">
        <f>((1+F268/36000)^(B268-B264)-1)*360/(B268-B264)</f>
        <v>6.0292406629634922E-3</v>
      </c>
      <c r="I268" s="4"/>
      <c r="J268" s="4"/>
      <c r="K268" s="10"/>
      <c r="L268" s="10"/>
      <c r="M268" s="10"/>
      <c r="N268" s="10"/>
      <c r="O268" s="10"/>
      <c r="P268" s="10"/>
    </row>
    <row r="269" spans="1:16" x14ac:dyDescent="0.25">
      <c r="A269" s="15" t="s">
        <v>115</v>
      </c>
      <c r="B269" s="5">
        <v>9581</v>
      </c>
      <c r="C269" s="5"/>
      <c r="D269" s="97">
        <f t="shared" si="36"/>
        <v>53532</v>
      </c>
      <c r="E269" s="58"/>
      <c r="F269" s="60">
        <f t="shared" si="37"/>
        <v>0.60109372893241486</v>
      </c>
      <c r="G269" s="64"/>
      <c r="H269" s="108"/>
      <c r="I269" s="4"/>
      <c r="J269" s="4"/>
      <c r="K269" s="10"/>
      <c r="L269" s="10"/>
      <c r="M269" s="10"/>
      <c r="N269" s="10"/>
      <c r="O269" s="10"/>
      <c r="P269" s="10"/>
    </row>
    <row r="270" spans="1:16" x14ac:dyDescent="0.25">
      <c r="A270" s="15" t="s">
        <v>116</v>
      </c>
      <c r="B270" s="5">
        <v>9672</v>
      </c>
      <c r="C270" s="5"/>
      <c r="D270" s="97">
        <f t="shared" si="36"/>
        <v>53623</v>
      </c>
      <c r="E270" s="58"/>
      <c r="F270" s="60">
        <f t="shared" si="37"/>
        <v>0.60109372893241486</v>
      </c>
      <c r="G270" s="64"/>
      <c r="H270" s="108"/>
      <c r="I270" s="4"/>
      <c r="J270" s="4"/>
      <c r="K270" s="10"/>
      <c r="L270" s="10"/>
      <c r="M270" s="10"/>
      <c r="N270" s="10"/>
      <c r="O270" s="10"/>
      <c r="P270" s="10"/>
    </row>
    <row r="271" spans="1:16" x14ac:dyDescent="0.25">
      <c r="A271" s="15" t="s">
        <v>117</v>
      </c>
      <c r="B271" s="5">
        <v>9763</v>
      </c>
      <c r="C271" s="5"/>
      <c r="D271" s="97">
        <f t="shared" si="36"/>
        <v>53714</v>
      </c>
      <c r="E271" s="58"/>
      <c r="F271" s="60">
        <f t="shared" si="37"/>
        <v>0.60109372893241486</v>
      </c>
      <c r="G271" s="64"/>
      <c r="H271" s="108"/>
      <c r="I271" s="4"/>
      <c r="J271" s="4"/>
      <c r="K271" s="10"/>
      <c r="L271" s="10"/>
      <c r="M271" s="10"/>
      <c r="N271" s="10"/>
      <c r="O271" s="10"/>
      <c r="P271" s="10"/>
    </row>
    <row r="272" spans="1:16" x14ac:dyDescent="0.25">
      <c r="A272" s="15" t="s">
        <v>118</v>
      </c>
      <c r="B272" s="5">
        <v>9855</v>
      </c>
      <c r="C272" s="5"/>
      <c r="D272" s="97">
        <f t="shared" si="36"/>
        <v>53806</v>
      </c>
      <c r="E272" s="58">
        <f>E268/(1+F268/36000)^(B272-B268)</f>
        <v>0.85765438413615214</v>
      </c>
      <c r="F272" s="60">
        <f t="shared" si="37"/>
        <v>0.60109372893241486</v>
      </c>
      <c r="G272" s="64"/>
      <c r="H272" s="106">
        <f>((1+F272/36000)^(B272-B268)-1)*360/(B272-B268)</f>
        <v>6.0292406629634922E-3</v>
      </c>
      <c r="I272" s="4"/>
      <c r="J272" s="4"/>
      <c r="K272" s="10"/>
      <c r="L272" s="10"/>
      <c r="M272" s="10"/>
      <c r="N272" s="10"/>
      <c r="O272" s="10"/>
      <c r="P272" s="10"/>
    </row>
    <row r="273" spans="1:16" x14ac:dyDescent="0.25">
      <c r="A273" s="15" t="s">
        <v>119</v>
      </c>
      <c r="B273" s="5">
        <v>9946</v>
      </c>
      <c r="C273" s="5"/>
      <c r="D273" s="97">
        <f t="shared" si="36"/>
        <v>53897</v>
      </c>
      <c r="E273" s="58"/>
      <c r="F273" s="60">
        <f t="shared" si="37"/>
        <v>0.60109372893241486</v>
      </c>
      <c r="G273" s="64"/>
      <c r="H273" s="108"/>
      <c r="I273" s="4"/>
      <c r="J273" s="4"/>
      <c r="K273" s="10"/>
      <c r="L273" s="10"/>
      <c r="M273" s="10"/>
      <c r="N273" s="10"/>
      <c r="O273" s="10"/>
      <c r="P273" s="10"/>
    </row>
    <row r="274" spans="1:16" x14ac:dyDescent="0.25">
      <c r="A274" s="15" t="s">
        <v>120</v>
      </c>
      <c r="B274" s="5">
        <v>10037</v>
      </c>
      <c r="C274" s="5"/>
      <c r="D274" s="97">
        <f t="shared" si="36"/>
        <v>53988</v>
      </c>
      <c r="E274" s="58"/>
      <c r="F274" s="60">
        <f t="shared" si="37"/>
        <v>0.60109372893241486</v>
      </c>
      <c r="G274" s="64"/>
      <c r="H274" s="108"/>
      <c r="I274" s="4"/>
      <c r="J274" s="4"/>
      <c r="K274" s="10"/>
      <c r="L274" s="10"/>
      <c r="M274" s="10"/>
      <c r="N274" s="10"/>
      <c r="O274" s="10"/>
      <c r="P274" s="10"/>
    </row>
    <row r="275" spans="1:16" x14ac:dyDescent="0.25">
      <c r="A275" s="15" t="s">
        <v>121</v>
      </c>
      <c r="B275" s="5">
        <v>10128</v>
      </c>
      <c r="C275" s="5"/>
      <c r="D275" s="97">
        <f t="shared" si="36"/>
        <v>54079</v>
      </c>
      <c r="E275" s="58"/>
      <c r="F275" s="60">
        <f t="shared" si="37"/>
        <v>0.60109372893241486</v>
      </c>
      <c r="G275" s="64"/>
      <c r="H275" s="108"/>
      <c r="I275" s="4"/>
      <c r="J275" s="4"/>
      <c r="K275" s="10"/>
      <c r="L275" s="10"/>
      <c r="M275" s="10"/>
      <c r="N275" s="10"/>
      <c r="O275" s="10"/>
      <c r="P275" s="10"/>
    </row>
    <row r="276" spans="1:16" x14ac:dyDescent="0.25">
      <c r="A276" s="15" t="s">
        <v>122</v>
      </c>
      <c r="B276" s="5">
        <v>10220</v>
      </c>
      <c r="C276" s="5"/>
      <c r="D276" s="97">
        <f t="shared" si="36"/>
        <v>54171</v>
      </c>
      <c r="E276" s="58">
        <f>E272/(1+F272/36000)^(B276-B272)</f>
        <v>0.85244341449281746</v>
      </c>
      <c r="F276" s="60">
        <f t="shared" si="37"/>
        <v>0.60109372893241486</v>
      </c>
      <c r="G276" s="64"/>
      <c r="H276" s="106">
        <f>((1+F276/36000)^(B276-B272)-1)*360/(B276-B272)</f>
        <v>6.0292406629634922E-3</v>
      </c>
      <c r="I276" s="4"/>
      <c r="J276" s="4"/>
      <c r="K276" s="10"/>
      <c r="L276" s="10"/>
      <c r="M276" s="10"/>
      <c r="N276" s="10"/>
      <c r="O276" s="10"/>
      <c r="P276" s="10"/>
    </row>
    <row r="277" spans="1:16" x14ac:dyDescent="0.25">
      <c r="A277" s="15" t="s">
        <v>123</v>
      </c>
      <c r="B277" s="5">
        <v>10311</v>
      </c>
      <c r="C277" s="5"/>
      <c r="D277" s="97">
        <f t="shared" si="36"/>
        <v>54262</v>
      </c>
      <c r="E277" s="58"/>
      <c r="F277" s="60">
        <f t="shared" si="37"/>
        <v>0.60109372893241486</v>
      </c>
      <c r="G277" s="64"/>
      <c r="H277" s="108"/>
      <c r="I277" s="4"/>
      <c r="J277" s="4"/>
      <c r="K277" s="10"/>
      <c r="L277" s="10"/>
      <c r="M277" s="10"/>
      <c r="N277" s="10"/>
      <c r="O277" s="10"/>
      <c r="P277" s="10"/>
    </row>
    <row r="278" spans="1:16" x14ac:dyDescent="0.25">
      <c r="A278" s="15" t="s">
        <v>124</v>
      </c>
      <c r="B278" s="5">
        <v>10402</v>
      </c>
      <c r="C278" s="5"/>
      <c r="D278" s="97">
        <f t="shared" si="36"/>
        <v>54353</v>
      </c>
      <c r="E278" s="58"/>
      <c r="F278" s="60">
        <f t="shared" si="37"/>
        <v>0.60109372893241486</v>
      </c>
      <c r="G278" s="64"/>
      <c r="H278" s="108"/>
      <c r="I278" s="4"/>
      <c r="J278" s="4"/>
      <c r="K278" s="10"/>
      <c r="L278" s="10"/>
      <c r="M278" s="10"/>
      <c r="N278" s="10"/>
      <c r="O278" s="10"/>
      <c r="P278" s="10"/>
    </row>
    <row r="279" spans="1:16" x14ac:dyDescent="0.25">
      <c r="A279" s="15" t="s">
        <v>125</v>
      </c>
      <c r="B279" s="5">
        <v>10493</v>
      </c>
      <c r="C279" s="5"/>
      <c r="D279" s="97">
        <f t="shared" si="36"/>
        <v>54444</v>
      </c>
      <c r="E279" s="58"/>
      <c r="F279" s="60">
        <f t="shared" si="37"/>
        <v>0.60109372893241486</v>
      </c>
      <c r="G279" s="64"/>
      <c r="H279" s="108"/>
      <c r="I279" s="4"/>
      <c r="J279" s="4"/>
      <c r="K279" s="10"/>
      <c r="L279" s="10"/>
      <c r="M279" s="10"/>
      <c r="N279" s="10"/>
      <c r="O279" s="10"/>
      <c r="P279" s="10"/>
    </row>
    <row r="280" spans="1:16" x14ac:dyDescent="0.25">
      <c r="A280" s="15" t="s">
        <v>126</v>
      </c>
      <c r="B280" s="5">
        <v>10585</v>
      </c>
      <c r="C280" s="5"/>
      <c r="D280" s="97">
        <f t="shared" si="36"/>
        <v>54536</v>
      </c>
      <c r="E280" s="58">
        <f>E276/(1+F276/36000)^(B280-B276)</f>
        <v>0.84726410586017198</v>
      </c>
      <c r="F280" s="60">
        <f t="shared" si="37"/>
        <v>0.60109372893241486</v>
      </c>
      <c r="G280" s="64"/>
      <c r="H280" s="106">
        <f>((1+F280/36000)^(B280-B276)-1)*360/(B280-B276)</f>
        <v>6.0292406629634922E-3</v>
      </c>
      <c r="I280" s="4"/>
      <c r="J280" s="4"/>
      <c r="K280" s="10"/>
      <c r="L280" s="10"/>
      <c r="M280" s="10"/>
      <c r="N280" s="10"/>
      <c r="O280" s="10"/>
      <c r="P280" s="10"/>
    </row>
    <row r="281" spans="1:16" x14ac:dyDescent="0.25">
      <c r="A281" s="15" t="s">
        <v>127</v>
      </c>
      <c r="B281" s="5">
        <v>10676</v>
      </c>
      <c r="C281" s="5"/>
      <c r="D281" s="97">
        <f t="shared" si="36"/>
        <v>54627</v>
      </c>
      <c r="E281" s="58"/>
      <c r="F281" s="60">
        <f t="shared" si="37"/>
        <v>0.60109372893241486</v>
      </c>
      <c r="G281" s="64"/>
      <c r="H281" s="108"/>
      <c r="I281" s="4"/>
      <c r="J281" s="4"/>
      <c r="K281" s="10"/>
      <c r="L281" s="10"/>
      <c r="M281" s="10"/>
      <c r="N281" s="10"/>
      <c r="O281" s="10"/>
      <c r="P281" s="10"/>
    </row>
    <row r="282" spans="1:16" x14ac:dyDescent="0.25">
      <c r="A282" s="15" t="s">
        <v>128</v>
      </c>
      <c r="B282" s="5">
        <v>10767</v>
      </c>
      <c r="C282" s="5"/>
      <c r="D282" s="97">
        <f t="shared" si="36"/>
        <v>54718</v>
      </c>
      <c r="E282" s="58"/>
      <c r="F282" s="60">
        <f t="shared" si="37"/>
        <v>0.60109372893241486</v>
      </c>
      <c r="G282" s="64"/>
      <c r="H282" s="108"/>
      <c r="I282" s="4"/>
      <c r="J282" s="4"/>
      <c r="K282" s="10"/>
      <c r="L282" s="10"/>
      <c r="M282" s="10"/>
      <c r="N282" s="10"/>
      <c r="O282" s="10"/>
      <c r="P282" s="10"/>
    </row>
    <row r="283" spans="1:16" x14ac:dyDescent="0.25">
      <c r="A283" s="15" t="s">
        <v>129</v>
      </c>
      <c r="B283" s="5">
        <v>10858</v>
      </c>
      <c r="C283" s="5"/>
      <c r="D283" s="97">
        <f t="shared" si="36"/>
        <v>54809</v>
      </c>
      <c r="E283" s="58"/>
      <c r="F283" s="60">
        <f t="shared" si="37"/>
        <v>0.60109372893241486</v>
      </c>
      <c r="G283" s="64"/>
      <c r="H283" s="108"/>
      <c r="I283" s="4"/>
      <c r="J283" s="4"/>
      <c r="K283" s="10"/>
      <c r="L283" s="10"/>
      <c r="M283" s="10"/>
      <c r="N283" s="10"/>
      <c r="O283" s="10"/>
      <c r="P283" s="10"/>
    </row>
    <row r="284" spans="1:16" x14ac:dyDescent="0.25">
      <c r="A284" s="15" t="s">
        <v>32</v>
      </c>
      <c r="B284" s="5">
        <v>10950</v>
      </c>
      <c r="C284" s="5"/>
      <c r="D284" s="97">
        <f t="shared" si="36"/>
        <v>54901</v>
      </c>
      <c r="E284" s="58">
        <f>E280/(1+F280/36000)^(B284-B280)</f>
        <v>0.84211626587102373</v>
      </c>
      <c r="F284" s="60">
        <f t="shared" si="37"/>
        <v>0.60109372893241486</v>
      </c>
      <c r="G284" s="61">
        <v>0.36849661531754552</v>
      </c>
      <c r="H284" s="106">
        <f>((1+F284/36000)^(B284-B280)-1)*360/(B284-B280)</f>
        <v>6.0292406629634922E-3</v>
      </c>
      <c r="I284" s="4"/>
      <c r="J284" s="4"/>
      <c r="K284" s="10"/>
      <c r="L284" s="10"/>
      <c r="M284" s="10"/>
      <c r="N284" s="10"/>
      <c r="O284" s="10"/>
      <c r="P284" s="10"/>
    </row>
    <row r="285" spans="1:16" x14ac:dyDescent="0.25">
      <c r="A285" s="15" t="s">
        <v>130</v>
      </c>
      <c r="B285" s="5">
        <v>11041</v>
      </c>
      <c r="C285" s="5"/>
      <c r="D285" s="97">
        <f t="shared" si="36"/>
        <v>54992</v>
      </c>
      <c r="E285" s="58"/>
      <c r="F285" s="60">
        <f>G284</f>
        <v>0.36849661531754552</v>
      </c>
      <c r="G285" s="64"/>
      <c r="H285" s="108"/>
      <c r="I285" s="4"/>
      <c r="J285" s="4"/>
      <c r="K285" s="10"/>
      <c r="L285" s="10"/>
      <c r="M285" s="10"/>
      <c r="N285" s="10"/>
      <c r="O285" s="10"/>
      <c r="P285" s="10"/>
    </row>
    <row r="286" spans="1:16" x14ac:dyDescent="0.25">
      <c r="A286" s="15" t="s">
        <v>131</v>
      </c>
      <c r="B286" s="5">
        <v>11132</v>
      </c>
      <c r="C286" s="5"/>
      <c r="D286" s="97">
        <f t="shared" si="36"/>
        <v>55083</v>
      </c>
      <c r="E286" s="58"/>
      <c r="F286" s="60">
        <f>F285</f>
        <v>0.36849661531754552</v>
      </c>
      <c r="G286" s="64"/>
      <c r="H286" s="108"/>
      <c r="I286" s="4"/>
      <c r="J286" s="4"/>
      <c r="K286" s="10"/>
      <c r="L286" s="10"/>
      <c r="M286" s="10"/>
      <c r="N286" s="10"/>
      <c r="O286" s="10"/>
      <c r="P286" s="10"/>
    </row>
    <row r="287" spans="1:16" x14ac:dyDescent="0.25">
      <c r="A287" s="15" t="s">
        <v>132</v>
      </c>
      <c r="B287" s="5">
        <v>11223</v>
      </c>
      <c r="C287" s="5"/>
      <c r="D287" s="97">
        <f t="shared" si="36"/>
        <v>55174</v>
      </c>
      <c r="E287" s="58"/>
      <c r="F287" s="60">
        <f t="shared" ref="F287:F324" si="38">F286</f>
        <v>0.36849661531754552</v>
      </c>
      <c r="G287" s="64"/>
      <c r="H287" s="108"/>
      <c r="I287" s="4"/>
      <c r="J287" s="4"/>
      <c r="K287" s="10"/>
      <c r="L287" s="10"/>
      <c r="M287" s="10"/>
      <c r="N287" s="10"/>
      <c r="O287" s="10"/>
      <c r="P287" s="10"/>
    </row>
    <row r="288" spans="1:16" x14ac:dyDescent="0.25">
      <c r="A288" s="15" t="s">
        <v>133</v>
      </c>
      <c r="B288" s="5">
        <v>11315</v>
      </c>
      <c r="C288" s="5"/>
      <c r="D288" s="97">
        <f t="shared" si="36"/>
        <v>55266</v>
      </c>
      <c r="E288" s="58">
        <f>E284/(1+G284/36000)^(B288-B284)</f>
        <v>0.83897588254293598</v>
      </c>
      <c r="F288" s="60">
        <f t="shared" si="38"/>
        <v>0.36849661531754552</v>
      </c>
      <c r="G288" s="64"/>
      <c r="H288" s="106">
        <f>((1+F288/36000)^(B288-B284)-1)*360/(B288-B284)</f>
        <v>3.6918395901915481E-3</v>
      </c>
      <c r="I288" s="4"/>
      <c r="J288" s="4"/>
      <c r="K288" s="10"/>
      <c r="L288" s="10"/>
      <c r="M288" s="10"/>
      <c r="N288" s="10"/>
      <c r="O288" s="10"/>
      <c r="P288" s="10"/>
    </row>
    <row r="289" spans="1:16" x14ac:dyDescent="0.25">
      <c r="A289" s="15" t="s">
        <v>134</v>
      </c>
      <c r="B289" s="5">
        <v>11406</v>
      </c>
      <c r="C289" s="5"/>
      <c r="D289" s="97">
        <f t="shared" si="36"/>
        <v>55357</v>
      </c>
      <c r="E289" s="58"/>
      <c r="F289" s="60">
        <f t="shared" si="38"/>
        <v>0.36849661531754552</v>
      </c>
      <c r="G289" s="64"/>
      <c r="H289" s="108"/>
      <c r="I289" s="4"/>
      <c r="J289" s="4"/>
      <c r="K289" s="10"/>
      <c r="L289" s="10"/>
      <c r="M289" s="10"/>
      <c r="N289" s="10"/>
      <c r="O289" s="10"/>
      <c r="P289" s="10"/>
    </row>
    <row r="290" spans="1:16" x14ac:dyDescent="0.25">
      <c r="A290" s="15" t="s">
        <v>135</v>
      </c>
      <c r="B290" s="5">
        <v>11497</v>
      </c>
      <c r="C290" s="5"/>
      <c r="D290" s="97">
        <f t="shared" si="36"/>
        <v>55448</v>
      </c>
      <c r="E290" s="58"/>
      <c r="F290" s="60">
        <f t="shared" si="38"/>
        <v>0.36849661531754552</v>
      </c>
      <c r="G290" s="64"/>
      <c r="H290" s="108"/>
      <c r="I290" s="4"/>
      <c r="J290" s="4"/>
      <c r="K290" s="10"/>
      <c r="L290" s="10"/>
      <c r="M290" s="10"/>
      <c r="N290" s="10"/>
      <c r="O290" s="10"/>
      <c r="P290" s="10"/>
    </row>
    <row r="291" spans="1:16" x14ac:dyDescent="0.25">
      <c r="A291" s="15" t="s">
        <v>136</v>
      </c>
      <c r="B291" s="5">
        <v>11588</v>
      </c>
      <c r="C291" s="5"/>
      <c r="D291" s="97">
        <f t="shared" si="36"/>
        <v>55539</v>
      </c>
      <c r="E291" s="58"/>
      <c r="F291" s="60">
        <f t="shared" si="38"/>
        <v>0.36849661531754552</v>
      </c>
      <c r="G291" s="64"/>
      <c r="H291" s="108"/>
      <c r="I291" s="4"/>
      <c r="J291" s="4"/>
      <c r="K291" s="10"/>
      <c r="L291" s="10"/>
      <c r="M291" s="10"/>
      <c r="N291" s="10"/>
      <c r="O291" s="10"/>
      <c r="P291" s="10"/>
    </row>
    <row r="292" spans="1:16" x14ac:dyDescent="0.25">
      <c r="A292" s="15" t="s">
        <v>137</v>
      </c>
      <c r="B292" s="5">
        <v>11680</v>
      </c>
      <c r="C292" s="5"/>
      <c r="D292" s="97">
        <f t="shared" si="36"/>
        <v>55631</v>
      </c>
      <c r="E292" s="58">
        <f>E288/(1+F288/36000)^(B292-B288)</f>
        <v>0.83584721019567954</v>
      </c>
      <c r="F292" s="60">
        <f t="shared" si="38"/>
        <v>0.36849661531754552</v>
      </c>
      <c r="G292" s="64"/>
      <c r="H292" s="106">
        <f>((1+F292/36000)^(B292-B288)-1)*360/(B292-B288)</f>
        <v>3.6918395901915481E-3</v>
      </c>
      <c r="I292" s="4"/>
      <c r="J292" s="4"/>
      <c r="K292" s="10"/>
      <c r="L292" s="10"/>
      <c r="M292" s="10"/>
      <c r="N292" s="10"/>
      <c r="O292" s="10"/>
      <c r="P292" s="10"/>
    </row>
    <row r="293" spans="1:16" x14ac:dyDescent="0.25">
      <c r="A293" s="15" t="s">
        <v>138</v>
      </c>
      <c r="B293" s="5">
        <v>11771</v>
      </c>
      <c r="C293" s="5"/>
      <c r="D293" s="97">
        <f t="shared" si="36"/>
        <v>55722</v>
      </c>
      <c r="E293" s="58"/>
      <c r="F293" s="60">
        <f t="shared" si="38"/>
        <v>0.36849661531754552</v>
      </c>
      <c r="G293" s="64"/>
      <c r="H293" s="108"/>
      <c r="I293" s="4"/>
      <c r="J293" s="4"/>
      <c r="K293" s="10"/>
      <c r="L293" s="10"/>
      <c r="M293" s="10"/>
      <c r="N293" s="10"/>
      <c r="O293" s="10"/>
      <c r="P293" s="10"/>
    </row>
    <row r="294" spans="1:16" x14ac:dyDescent="0.25">
      <c r="A294" s="15" t="s">
        <v>139</v>
      </c>
      <c r="B294" s="5">
        <v>11862</v>
      </c>
      <c r="C294" s="5"/>
      <c r="D294" s="97">
        <f t="shared" si="36"/>
        <v>55813</v>
      </c>
      <c r="E294" s="58"/>
      <c r="F294" s="60">
        <f t="shared" si="38"/>
        <v>0.36849661531754552</v>
      </c>
      <c r="G294" s="64"/>
      <c r="H294" s="108"/>
      <c r="I294" s="4"/>
      <c r="J294" s="4"/>
      <c r="K294" s="10"/>
      <c r="L294" s="10"/>
      <c r="M294" s="10"/>
      <c r="N294" s="10"/>
      <c r="O294" s="10"/>
      <c r="P294" s="10"/>
    </row>
    <row r="295" spans="1:16" x14ac:dyDescent="0.25">
      <c r="A295" s="15" t="s">
        <v>140</v>
      </c>
      <c r="B295" s="5">
        <v>11953</v>
      </c>
      <c r="C295" s="5"/>
      <c r="D295" s="97">
        <f t="shared" si="36"/>
        <v>55904</v>
      </c>
      <c r="E295" s="58"/>
      <c r="F295" s="60">
        <f t="shared" si="38"/>
        <v>0.36849661531754552</v>
      </c>
      <c r="G295" s="64"/>
      <c r="H295" s="108"/>
      <c r="I295" s="4"/>
      <c r="J295" s="4"/>
      <c r="K295" s="10"/>
      <c r="L295" s="10"/>
      <c r="M295" s="10"/>
      <c r="N295" s="10"/>
      <c r="O295" s="10"/>
      <c r="P295" s="10"/>
    </row>
    <row r="296" spans="1:16" x14ac:dyDescent="0.25">
      <c r="A296" s="15" t="s">
        <v>141</v>
      </c>
      <c r="B296" s="5">
        <v>12045</v>
      </c>
      <c r="C296" s="5"/>
      <c r="D296" s="97">
        <f t="shared" si="36"/>
        <v>55996</v>
      </c>
      <c r="E296" s="58">
        <f>E292/(1+F292/36000)^(B296-B292)</f>
        <v>0.83273020515717433</v>
      </c>
      <c r="F296" s="60">
        <f t="shared" si="38"/>
        <v>0.36849661531754552</v>
      </c>
      <c r="G296" s="64"/>
      <c r="H296" s="106">
        <f>((1+F296/36000)^(B296-B292)-1)*360/(B296-B292)</f>
        <v>3.6918395901915481E-3</v>
      </c>
      <c r="I296" s="4"/>
      <c r="J296" s="4"/>
      <c r="K296" s="10"/>
      <c r="L296" s="10"/>
      <c r="M296" s="10"/>
      <c r="N296" s="10"/>
      <c r="O296" s="10"/>
      <c r="P296" s="10"/>
    </row>
    <row r="297" spans="1:16" x14ac:dyDescent="0.25">
      <c r="A297" s="15" t="s">
        <v>142</v>
      </c>
      <c r="B297" s="5">
        <v>12136</v>
      </c>
      <c r="C297" s="5"/>
      <c r="D297" s="97">
        <f t="shared" si="36"/>
        <v>56087</v>
      </c>
      <c r="E297" s="58"/>
      <c r="F297" s="60">
        <f t="shared" si="38"/>
        <v>0.36849661531754552</v>
      </c>
      <c r="G297" s="64"/>
      <c r="H297" s="108"/>
      <c r="I297" s="4"/>
      <c r="J297" s="4"/>
      <c r="K297" s="10"/>
      <c r="L297" s="10"/>
      <c r="M297" s="10"/>
      <c r="N297" s="10"/>
      <c r="O297" s="10"/>
      <c r="P297" s="10"/>
    </row>
    <row r="298" spans="1:16" x14ac:dyDescent="0.25">
      <c r="A298" s="15" t="s">
        <v>143</v>
      </c>
      <c r="B298" s="5">
        <v>12227</v>
      </c>
      <c r="C298" s="5"/>
      <c r="D298" s="97">
        <f t="shared" si="36"/>
        <v>56178</v>
      </c>
      <c r="E298" s="58"/>
      <c r="F298" s="60">
        <f t="shared" si="38"/>
        <v>0.36849661531754552</v>
      </c>
      <c r="G298" s="64"/>
      <c r="H298" s="108"/>
      <c r="I298" s="4"/>
      <c r="J298" s="4"/>
      <c r="K298" s="10"/>
      <c r="L298" s="10"/>
      <c r="M298" s="10"/>
      <c r="N298" s="10"/>
      <c r="O298" s="10"/>
      <c r="P298" s="10"/>
    </row>
    <row r="299" spans="1:16" x14ac:dyDescent="0.25">
      <c r="A299" s="15" t="s">
        <v>144</v>
      </c>
      <c r="B299" s="5">
        <v>12318</v>
      </c>
      <c r="C299" s="5"/>
      <c r="D299" s="97">
        <f t="shared" si="36"/>
        <v>56269</v>
      </c>
      <c r="E299" s="58"/>
      <c r="F299" s="60">
        <f t="shared" si="38"/>
        <v>0.36849661531754552</v>
      </c>
      <c r="G299" s="64"/>
      <c r="H299" s="108"/>
      <c r="I299" s="4"/>
      <c r="J299" s="4"/>
      <c r="K299" s="10"/>
      <c r="L299" s="10"/>
      <c r="M299" s="10"/>
      <c r="N299" s="10"/>
      <c r="O299" s="10"/>
      <c r="P299" s="10"/>
    </row>
    <row r="300" spans="1:16" x14ac:dyDescent="0.25">
      <c r="A300" s="15" t="s">
        <v>145</v>
      </c>
      <c r="B300" s="5">
        <v>12410</v>
      </c>
      <c r="C300" s="5"/>
      <c r="D300" s="97">
        <f t="shared" ref="D300:D324" si="39">$D$2+B300</f>
        <v>56361</v>
      </c>
      <c r="E300" s="58">
        <f>E296/(1+F296/36000)^(B300-B296)</f>
        <v>0.82962482391820036</v>
      </c>
      <c r="F300" s="60">
        <f t="shared" si="38"/>
        <v>0.36849661531754552</v>
      </c>
      <c r="G300" s="64"/>
      <c r="H300" s="106">
        <f>((1+F300/36000)^(B300-B296)-1)*360/(B300-B296)</f>
        <v>3.6918395901915481E-3</v>
      </c>
      <c r="I300" s="4"/>
      <c r="J300" s="4"/>
      <c r="K300" s="10"/>
      <c r="L300" s="10"/>
      <c r="M300" s="10"/>
      <c r="N300" s="10"/>
      <c r="O300" s="10"/>
      <c r="P300" s="10"/>
    </row>
    <row r="301" spans="1:16" x14ac:dyDescent="0.25">
      <c r="A301" s="15" t="s">
        <v>146</v>
      </c>
      <c r="B301" s="5">
        <v>12501</v>
      </c>
      <c r="C301" s="5"/>
      <c r="D301" s="97">
        <f t="shared" si="39"/>
        <v>56452</v>
      </c>
      <c r="E301" s="58"/>
      <c r="F301" s="60">
        <f t="shared" si="38"/>
        <v>0.36849661531754552</v>
      </c>
      <c r="G301" s="64"/>
      <c r="H301" s="108"/>
      <c r="I301" s="4"/>
      <c r="J301" s="4"/>
      <c r="K301" s="10"/>
      <c r="L301" s="10"/>
      <c r="M301" s="10"/>
      <c r="N301" s="10"/>
      <c r="O301" s="10"/>
      <c r="P301" s="10"/>
    </row>
    <row r="302" spans="1:16" x14ac:dyDescent="0.25">
      <c r="A302" s="15" t="s">
        <v>147</v>
      </c>
      <c r="B302" s="5">
        <v>12592</v>
      </c>
      <c r="C302" s="5"/>
      <c r="D302" s="97">
        <f t="shared" si="39"/>
        <v>56543</v>
      </c>
      <c r="E302" s="58"/>
      <c r="F302" s="60">
        <f t="shared" si="38"/>
        <v>0.36849661531754552</v>
      </c>
      <c r="G302" s="64"/>
      <c r="H302" s="108"/>
      <c r="I302" s="4"/>
      <c r="J302" s="4"/>
      <c r="K302" s="10"/>
      <c r="L302" s="10"/>
      <c r="M302" s="10"/>
      <c r="N302" s="10"/>
      <c r="O302" s="10"/>
      <c r="P302" s="10"/>
    </row>
    <row r="303" spans="1:16" x14ac:dyDescent="0.25">
      <c r="A303" s="15" t="s">
        <v>148</v>
      </c>
      <c r="B303" s="5">
        <v>12683</v>
      </c>
      <c r="C303" s="5"/>
      <c r="D303" s="97">
        <f t="shared" si="39"/>
        <v>56634</v>
      </c>
      <c r="E303" s="58"/>
      <c r="F303" s="60">
        <f t="shared" si="38"/>
        <v>0.36849661531754552</v>
      </c>
      <c r="G303" s="64"/>
      <c r="H303" s="108"/>
      <c r="I303" s="4"/>
      <c r="J303" s="4"/>
      <c r="K303" s="10"/>
      <c r="L303" s="10"/>
      <c r="M303" s="10"/>
      <c r="N303" s="10"/>
      <c r="O303" s="10"/>
      <c r="P303" s="10"/>
    </row>
    <row r="304" spans="1:16" x14ac:dyDescent="0.25">
      <c r="A304" s="15" t="s">
        <v>34</v>
      </c>
      <c r="B304" s="5">
        <v>12775</v>
      </c>
      <c r="C304" s="5"/>
      <c r="D304" s="97">
        <f t="shared" si="39"/>
        <v>56726</v>
      </c>
      <c r="E304" s="58">
        <f>E300/(1+F300/36000)^(B304-B300)</f>
        <v>0.82653102313179039</v>
      </c>
      <c r="F304" s="60">
        <f t="shared" si="38"/>
        <v>0.36849661531754552</v>
      </c>
      <c r="G304" s="64"/>
      <c r="H304" s="106">
        <f>((1+F304/36000)^(B304-B300)-1)*360/(B304-B300)</f>
        <v>3.6918395901915481E-3</v>
      </c>
      <c r="I304" s="4"/>
      <c r="J304" s="4"/>
      <c r="K304" s="10"/>
      <c r="L304" s="10"/>
      <c r="M304" s="10"/>
      <c r="N304" s="10"/>
      <c r="O304" s="10"/>
      <c r="P304" s="10"/>
    </row>
    <row r="305" spans="1:16" x14ac:dyDescent="0.25">
      <c r="A305" s="15" t="s">
        <v>149</v>
      </c>
      <c r="B305" s="5">
        <v>12866</v>
      </c>
      <c r="C305" s="5"/>
      <c r="D305" s="97">
        <f t="shared" si="39"/>
        <v>56817</v>
      </c>
      <c r="E305" s="58"/>
      <c r="F305" s="60">
        <f t="shared" si="38"/>
        <v>0.36849661531754552</v>
      </c>
      <c r="G305" s="64"/>
      <c r="H305" s="108"/>
      <c r="I305" s="4"/>
      <c r="J305" s="4"/>
      <c r="K305" s="10"/>
      <c r="L305" s="10"/>
      <c r="M305" s="10"/>
      <c r="N305" s="10"/>
      <c r="O305" s="10"/>
      <c r="P305" s="10"/>
    </row>
    <row r="306" spans="1:16" x14ac:dyDescent="0.25">
      <c r="A306" s="15" t="s">
        <v>150</v>
      </c>
      <c r="B306" s="5">
        <v>12957</v>
      </c>
      <c r="C306" s="5"/>
      <c r="D306" s="97">
        <f t="shared" si="39"/>
        <v>56908</v>
      </c>
      <c r="E306" s="58"/>
      <c r="F306" s="60">
        <f t="shared" si="38"/>
        <v>0.36849661531754552</v>
      </c>
      <c r="G306" s="64"/>
      <c r="H306" s="108"/>
      <c r="I306" s="4"/>
      <c r="J306" s="4"/>
      <c r="K306" s="10"/>
      <c r="L306" s="10"/>
      <c r="M306" s="10"/>
      <c r="N306" s="10"/>
      <c r="O306" s="10"/>
      <c r="P306" s="10"/>
    </row>
    <row r="307" spans="1:16" x14ac:dyDescent="0.25">
      <c r="A307" s="15" t="s">
        <v>151</v>
      </c>
      <c r="B307" s="5">
        <v>13048</v>
      </c>
      <c r="C307" s="5"/>
      <c r="D307" s="97">
        <f t="shared" si="39"/>
        <v>56999</v>
      </c>
      <c r="E307" s="58"/>
      <c r="F307" s="60">
        <f t="shared" si="38"/>
        <v>0.36849661531754552</v>
      </c>
      <c r="G307" s="64"/>
      <c r="H307" s="108"/>
      <c r="I307" s="4"/>
      <c r="J307" s="4"/>
      <c r="K307" s="10"/>
      <c r="L307" s="10"/>
      <c r="M307" s="10"/>
      <c r="N307" s="10"/>
      <c r="O307" s="10"/>
      <c r="P307" s="10"/>
    </row>
    <row r="308" spans="1:16" x14ac:dyDescent="0.25">
      <c r="A308" s="15" t="s">
        <v>152</v>
      </c>
      <c r="B308" s="5">
        <v>13140</v>
      </c>
      <c r="C308" s="5"/>
      <c r="D308" s="97">
        <f t="shared" si="39"/>
        <v>57091</v>
      </c>
      <c r="E308" s="58">
        <f>E304/(1+F304/36000)^(B308-B304)</f>
        <v>0.82344875961262465</v>
      </c>
      <c r="F308" s="60">
        <f t="shared" si="38"/>
        <v>0.36849661531754552</v>
      </c>
      <c r="G308" s="64"/>
      <c r="H308" s="106">
        <f>((1+F308/36000)^(B308-B304)-1)*360/(B308-B304)</f>
        <v>3.6918395901915481E-3</v>
      </c>
      <c r="I308" s="4"/>
      <c r="J308" s="4"/>
      <c r="K308" s="10"/>
      <c r="L308" s="10"/>
      <c r="M308" s="10"/>
      <c r="N308" s="10"/>
      <c r="O308" s="10"/>
      <c r="P308" s="10"/>
    </row>
    <row r="309" spans="1:16" x14ac:dyDescent="0.25">
      <c r="A309" s="15" t="s">
        <v>153</v>
      </c>
      <c r="B309" s="5">
        <v>13231</v>
      </c>
      <c r="C309" s="5"/>
      <c r="D309" s="97">
        <f t="shared" si="39"/>
        <v>57182</v>
      </c>
      <c r="E309" s="58"/>
      <c r="F309" s="60">
        <f t="shared" si="38"/>
        <v>0.36849661531754552</v>
      </c>
      <c r="G309" s="64"/>
      <c r="H309" s="108"/>
      <c r="I309" s="4"/>
      <c r="J309" s="4"/>
      <c r="K309" s="10"/>
      <c r="L309" s="10"/>
      <c r="M309" s="10"/>
      <c r="N309" s="10"/>
      <c r="O309" s="10"/>
      <c r="P309" s="10"/>
    </row>
    <row r="310" spans="1:16" x14ac:dyDescent="0.25">
      <c r="A310" s="15" t="s">
        <v>154</v>
      </c>
      <c r="B310" s="5">
        <v>13322</v>
      </c>
      <c r="C310" s="5"/>
      <c r="D310" s="97">
        <f t="shared" si="39"/>
        <v>57273</v>
      </c>
      <c r="E310" s="58"/>
      <c r="F310" s="60">
        <f t="shared" si="38"/>
        <v>0.36849661531754552</v>
      </c>
      <c r="G310" s="64"/>
      <c r="H310" s="108"/>
      <c r="I310" s="4"/>
      <c r="J310" s="4"/>
      <c r="K310" s="10"/>
      <c r="L310" s="10"/>
      <c r="M310" s="10"/>
      <c r="N310" s="10"/>
      <c r="O310" s="10"/>
      <c r="P310" s="10"/>
    </row>
    <row r="311" spans="1:16" x14ac:dyDescent="0.25">
      <c r="A311" s="15" t="s">
        <v>155</v>
      </c>
      <c r="B311" s="5">
        <v>13413</v>
      </c>
      <c r="C311" s="5"/>
      <c r="D311" s="97">
        <f t="shared" si="39"/>
        <v>57364</v>
      </c>
      <c r="E311" s="58"/>
      <c r="F311" s="60">
        <f t="shared" si="38"/>
        <v>0.36849661531754552</v>
      </c>
      <c r="G311" s="64"/>
      <c r="H311" s="108"/>
      <c r="I311" s="4"/>
      <c r="J311" s="4"/>
      <c r="K311" s="10"/>
      <c r="L311" s="10"/>
      <c r="M311" s="10"/>
      <c r="N311" s="10"/>
      <c r="O311" s="10"/>
      <c r="P311" s="10"/>
    </row>
    <row r="312" spans="1:16" x14ac:dyDescent="0.25">
      <c r="A312" s="15" t="s">
        <v>156</v>
      </c>
      <c r="B312" s="5">
        <v>13505</v>
      </c>
      <c r="C312" s="5"/>
      <c r="D312" s="97">
        <f t="shared" si="39"/>
        <v>57456</v>
      </c>
      <c r="E312" s="58">
        <f>E308/(1+GE8/36000)^(B312-B308)</f>
        <v>0.82344875961262465</v>
      </c>
      <c r="F312" s="60">
        <f t="shared" si="38"/>
        <v>0.36849661531754552</v>
      </c>
      <c r="G312" s="64"/>
      <c r="H312" s="106">
        <f>((1+F312/36000)^(B312-B308)-1)*360/(B312-B308)</f>
        <v>3.6918395901915481E-3</v>
      </c>
      <c r="I312" s="4"/>
      <c r="J312" s="4"/>
      <c r="K312" s="10"/>
      <c r="L312" s="10"/>
      <c r="M312" s="10"/>
      <c r="N312" s="10"/>
      <c r="O312" s="10"/>
      <c r="P312" s="10"/>
    </row>
    <row r="313" spans="1:16" x14ac:dyDescent="0.25">
      <c r="A313" s="15" t="s">
        <v>157</v>
      </c>
      <c r="B313" s="5">
        <v>13596</v>
      </c>
      <c r="C313" s="5"/>
      <c r="D313" s="97">
        <f t="shared" si="39"/>
        <v>57547</v>
      </c>
      <c r="E313" s="58"/>
      <c r="F313" s="60">
        <f t="shared" si="38"/>
        <v>0.36849661531754552</v>
      </c>
      <c r="G313" s="64"/>
      <c r="H313" s="108"/>
      <c r="I313" s="4"/>
      <c r="J313" s="4"/>
      <c r="K313" s="10"/>
      <c r="L313" s="10"/>
      <c r="M313" s="10"/>
      <c r="N313" s="10"/>
      <c r="O313" s="10"/>
      <c r="P313" s="10"/>
    </row>
    <row r="314" spans="1:16" x14ac:dyDescent="0.25">
      <c r="A314" s="15" t="s">
        <v>158</v>
      </c>
      <c r="B314" s="5">
        <v>13687</v>
      </c>
      <c r="C314" s="5"/>
      <c r="D314" s="97">
        <f t="shared" si="39"/>
        <v>57638</v>
      </c>
      <c r="E314" s="58"/>
      <c r="F314" s="60">
        <f t="shared" si="38"/>
        <v>0.36849661531754552</v>
      </c>
      <c r="G314" s="64"/>
      <c r="H314" s="108"/>
      <c r="I314" s="4"/>
      <c r="J314" s="4"/>
      <c r="K314" s="10"/>
      <c r="L314" s="10"/>
      <c r="M314" s="10"/>
      <c r="N314" s="10"/>
      <c r="O314" s="10"/>
      <c r="P314" s="10"/>
    </row>
    <row r="315" spans="1:16" x14ac:dyDescent="0.25">
      <c r="A315" s="15" t="s">
        <v>159</v>
      </c>
      <c r="B315" s="5">
        <v>13778</v>
      </c>
      <c r="C315" s="5"/>
      <c r="D315" s="97">
        <f t="shared" si="39"/>
        <v>57729</v>
      </c>
      <c r="E315" s="58"/>
      <c r="F315" s="60">
        <f t="shared" si="38"/>
        <v>0.36849661531754552</v>
      </c>
      <c r="G315" s="64"/>
      <c r="H315" s="108"/>
      <c r="I315" s="4"/>
      <c r="J315" s="4"/>
      <c r="K315" s="10"/>
      <c r="L315" s="10"/>
      <c r="M315" s="10"/>
      <c r="N315" s="10"/>
      <c r="O315" s="10"/>
      <c r="P315" s="10"/>
    </row>
    <row r="316" spans="1:16" x14ac:dyDescent="0.25">
      <c r="A316" s="15" t="s">
        <v>160</v>
      </c>
      <c r="B316" s="5">
        <v>13870</v>
      </c>
      <c r="C316" s="5"/>
      <c r="D316" s="97">
        <f t="shared" si="39"/>
        <v>57821</v>
      </c>
      <c r="E316" s="58">
        <f>E312/(1+F312/36000)^(B316-B312)</f>
        <v>0.82037799033642822</v>
      </c>
      <c r="F316" s="60">
        <f t="shared" si="38"/>
        <v>0.36849661531754552</v>
      </c>
      <c r="G316" s="64"/>
      <c r="H316" s="106">
        <f>((1+F316/36000)^(B316-B312)-1)*360/(B316-B312)</f>
        <v>3.6918395901915481E-3</v>
      </c>
      <c r="I316" s="4"/>
      <c r="J316" s="4"/>
      <c r="K316" s="10"/>
      <c r="L316" s="10"/>
      <c r="M316" s="10"/>
      <c r="N316" s="10"/>
      <c r="O316" s="10"/>
      <c r="P316" s="10"/>
    </row>
    <row r="317" spans="1:16" x14ac:dyDescent="0.25">
      <c r="A317" s="15" t="s">
        <v>161</v>
      </c>
      <c r="B317" s="5">
        <v>13961</v>
      </c>
      <c r="C317" s="5"/>
      <c r="D317" s="97">
        <f t="shared" si="39"/>
        <v>57912</v>
      </c>
      <c r="E317" s="58"/>
      <c r="F317" s="60">
        <f t="shared" si="38"/>
        <v>0.36849661531754552</v>
      </c>
      <c r="G317" s="64"/>
      <c r="H317" s="108"/>
      <c r="I317" s="4"/>
      <c r="J317" s="4"/>
      <c r="K317" s="10"/>
      <c r="L317" s="10"/>
      <c r="M317" s="10"/>
      <c r="N317" s="10"/>
      <c r="O317" s="10"/>
      <c r="P317" s="10"/>
    </row>
    <row r="318" spans="1:16" x14ac:dyDescent="0.25">
      <c r="A318" s="15" t="s">
        <v>162</v>
      </c>
      <c r="B318" s="5">
        <v>14052</v>
      </c>
      <c r="C318" s="5"/>
      <c r="D318" s="97">
        <f t="shared" si="39"/>
        <v>58003</v>
      </c>
      <c r="E318" s="58"/>
      <c r="F318" s="60">
        <f t="shared" si="38"/>
        <v>0.36849661531754552</v>
      </c>
      <c r="G318" s="64"/>
      <c r="H318" s="108"/>
      <c r="I318" s="4"/>
      <c r="J318" s="4"/>
      <c r="K318" s="10"/>
      <c r="L318" s="10"/>
      <c r="M318" s="10"/>
      <c r="N318" s="10"/>
      <c r="O318" s="10"/>
      <c r="P318" s="10"/>
    </row>
    <row r="319" spans="1:16" x14ac:dyDescent="0.25">
      <c r="A319" s="15" t="s">
        <v>163</v>
      </c>
      <c r="B319" s="5">
        <v>14143</v>
      </c>
      <c r="C319" s="5"/>
      <c r="D319" s="97">
        <f t="shared" si="39"/>
        <v>58094</v>
      </c>
      <c r="E319" s="58"/>
      <c r="F319" s="60">
        <f t="shared" si="38"/>
        <v>0.36849661531754552</v>
      </c>
      <c r="G319" s="64"/>
      <c r="H319" s="108"/>
      <c r="I319" s="4"/>
      <c r="J319" s="4"/>
      <c r="K319" s="10"/>
      <c r="L319" s="10"/>
      <c r="M319" s="10"/>
      <c r="N319" s="10"/>
      <c r="O319" s="10"/>
      <c r="P319" s="10"/>
    </row>
    <row r="320" spans="1:16" x14ac:dyDescent="0.25">
      <c r="A320" s="15" t="s">
        <v>164</v>
      </c>
      <c r="B320" s="5">
        <v>14235</v>
      </c>
      <c r="C320" s="5"/>
      <c r="D320" s="97">
        <f t="shared" si="39"/>
        <v>58186</v>
      </c>
      <c r="E320" s="58">
        <f>E316/(1+F316/36000)^(B320-B316)</f>
        <v>0.81731867243937051</v>
      </c>
      <c r="F320" s="60">
        <f t="shared" si="38"/>
        <v>0.36849661531754552</v>
      </c>
      <c r="G320" s="64"/>
      <c r="H320" s="106">
        <f>((1+F320/36000)^(B320-B316)-1)*360/(B320-B316)</f>
        <v>3.6918395901915481E-3</v>
      </c>
      <c r="I320" s="4"/>
      <c r="J320" s="4"/>
      <c r="K320" s="10"/>
      <c r="L320" s="10"/>
      <c r="M320" s="10"/>
      <c r="N320" s="10"/>
      <c r="O320" s="10"/>
      <c r="P320" s="10"/>
    </row>
    <row r="321" spans="1:16" x14ac:dyDescent="0.25">
      <c r="A321" s="15" t="s">
        <v>165</v>
      </c>
      <c r="B321" s="5">
        <v>14326</v>
      </c>
      <c r="C321" s="5"/>
      <c r="D321" s="97">
        <f t="shared" si="39"/>
        <v>58277</v>
      </c>
      <c r="E321" s="58"/>
      <c r="F321" s="60">
        <f t="shared" si="38"/>
        <v>0.36849661531754552</v>
      </c>
      <c r="G321" s="64"/>
      <c r="H321" s="108"/>
      <c r="I321" s="4"/>
      <c r="J321" s="4"/>
      <c r="K321" s="10"/>
      <c r="L321" s="10"/>
      <c r="M321" s="10"/>
      <c r="N321" s="10"/>
      <c r="O321" s="10"/>
      <c r="P321" s="10"/>
    </row>
    <row r="322" spans="1:16" x14ac:dyDescent="0.25">
      <c r="A322" s="15" t="s">
        <v>166</v>
      </c>
      <c r="B322" s="5">
        <v>14417</v>
      </c>
      <c r="C322" s="5"/>
      <c r="D322" s="97">
        <f t="shared" si="39"/>
        <v>58368</v>
      </c>
      <c r="E322" s="58"/>
      <c r="F322" s="60">
        <f t="shared" si="38"/>
        <v>0.36849661531754552</v>
      </c>
      <c r="G322" s="64"/>
      <c r="H322" s="108"/>
      <c r="I322" s="4"/>
      <c r="J322" s="4"/>
      <c r="K322" s="10"/>
      <c r="L322" s="10"/>
      <c r="M322" s="10"/>
      <c r="N322" s="10"/>
      <c r="O322" s="10"/>
      <c r="P322" s="10"/>
    </row>
    <row r="323" spans="1:16" x14ac:dyDescent="0.25">
      <c r="A323" s="15" t="s">
        <v>167</v>
      </c>
      <c r="B323" s="5">
        <v>14508</v>
      </c>
      <c r="C323" s="5"/>
      <c r="D323" s="97">
        <f t="shared" si="39"/>
        <v>58459</v>
      </c>
      <c r="E323" s="58"/>
      <c r="F323" s="60">
        <f t="shared" si="38"/>
        <v>0.36849661531754552</v>
      </c>
      <c r="G323" s="64"/>
      <c r="H323" s="108"/>
      <c r="I323" s="4"/>
      <c r="J323" s="4"/>
      <c r="K323" s="10"/>
      <c r="L323" s="10"/>
      <c r="M323" s="10"/>
      <c r="N323" s="10"/>
      <c r="O323" s="10"/>
      <c r="P323" s="10"/>
    </row>
    <row r="324" spans="1:16" ht="15.75" thickBot="1" x14ac:dyDescent="0.3">
      <c r="A324" s="15" t="s">
        <v>36</v>
      </c>
      <c r="B324" s="5">
        <v>14600</v>
      </c>
      <c r="C324" s="5"/>
      <c r="D324" s="109">
        <f t="shared" si="39"/>
        <v>58551</v>
      </c>
      <c r="E324" s="110">
        <f>E320/(1+F320/36000)^(B324-B320)</f>
        <v>0.81427076321746683</v>
      </c>
      <c r="F324" s="111">
        <f t="shared" si="38"/>
        <v>0.36849661531754552</v>
      </c>
      <c r="G324" s="112"/>
      <c r="H324" s="113">
        <f>((1+F324/36000)^(B324-B320)-1)*360/(B324-B320)</f>
        <v>3.6918395901915481E-3</v>
      </c>
      <c r="I324" s="4"/>
      <c r="J324" s="4"/>
      <c r="K324" s="10"/>
      <c r="L324" s="10"/>
      <c r="M324" s="10"/>
      <c r="N324" s="10"/>
      <c r="O324" s="10"/>
      <c r="P324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GoalSeek_SOFR">
                <anchor moveWithCells="1" sizeWithCells="1">
                  <from>
                    <xdr:col>8</xdr:col>
                    <xdr:colOff>581025</xdr:colOff>
                    <xdr:row>185</xdr:row>
                    <xdr:rowOff>85725</xdr:rowOff>
                  </from>
                  <to>
                    <xdr:col>11</xdr:col>
                    <xdr:colOff>323850</xdr:colOff>
                    <xdr:row>190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20"/>
  <sheetViews>
    <sheetView workbookViewId="0"/>
  </sheetViews>
  <sheetFormatPr defaultRowHeight="15" x14ac:dyDescent="0.25"/>
  <cols>
    <col min="1" max="1" width="10.7109375" style="19" bestFit="1" customWidth="1"/>
    <col min="2" max="2" width="10.5703125" bestFit="1" customWidth="1"/>
    <col min="3" max="3" width="12.42578125" style="10" bestFit="1" customWidth="1"/>
    <col min="5" max="5" width="9.7109375" bestFit="1" customWidth="1"/>
  </cols>
  <sheetData>
    <row r="1" spans="1:8" x14ac:dyDescent="0.25">
      <c r="A1" s="21" t="s">
        <v>8</v>
      </c>
      <c r="B1" s="21" t="s">
        <v>225</v>
      </c>
      <c r="C1" s="21" t="s">
        <v>226</v>
      </c>
    </row>
    <row r="2" spans="1:8" x14ac:dyDescent="0.25">
      <c r="A2" s="2">
        <v>43955</v>
      </c>
      <c r="B2" s="130">
        <v>2.57395769351479E-2</v>
      </c>
      <c r="C2" s="130">
        <f>INDEX(Main!$F$2:$F$324,MATCH(A2,Main!$D$2:$D$324,1)+1)</f>
        <v>2.8784527689555972E-2</v>
      </c>
      <c r="E2" s="11"/>
    </row>
    <row r="3" spans="1:8" x14ac:dyDescent="0.25">
      <c r="A3" s="2">
        <v>43988</v>
      </c>
      <c r="B3" s="130">
        <v>2.49494302300424E-2</v>
      </c>
      <c r="C3" s="130">
        <f>INDEX(Main!$F$2:$F$324,MATCH(A3,Main!$D$2:$D$324,1)+1)</f>
        <v>2.8784527689555972E-2</v>
      </c>
      <c r="E3" s="11"/>
      <c r="F3" s="10"/>
      <c r="G3" s="10"/>
      <c r="H3" s="10"/>
    </row>
    <row r="4" spans="1:8" x14ac:dyDescent="0.25">
      <c r="A4" s="2">
        <v>44016</v>
      </c>
      <c r="B4" s="130">
        <v>2.4734039886167201E-2</v>
      </c>
      <c r="C4" s="130">
        <f>INDEX(Main!$F$2:$F$324,MATCH(A4,Main!$D$2:$D$324,1)+1)</f>
        <v>2.4922200791328564E-2</v>
      </c>
      <c r="E4" s="11"/>
      <c r="F4" s="10"/>
      <c r="G4" s="10"/>
      <c r="H4" s="10"/>
    </row>
    <row r="5" spans="1:8" x14ac:dyDescent="0.25">
      <c r="A5" s="2">
        <v>44047</v>
      </c>
      <c r="B5" s="130">
        <v>2.4734039886167201E-2</v>
      </c>
      <c r="C5" s="130">
        <f>INDEX(Main!$F$2:$F$324,MATCH(A5,Main!$D$2:$D$324,1)+1)</f>
        <v>2.4922200791328564E-2</v>
      </c>
      <c r="E5" s="11"/>
      <c r="F5" s="10"/>
      <c r="G5" s="10"/>
      <c r="H5" s="10"/>
    </row>
    <row r="6" spans="1:8" x14ac:dyDescent="0.25">
      <c r="A6" s="2">
        <v>44079</v>
      </c>
      <c r="B6" s="130">
        <v>2.74677516956051E-2</v>
      </c>
      <c r="C6" s="130">
        <f>INDEX(Main!$F$2:$F$324,MATCH(A6,Main!$D$2:$D$324,1)+1)</f>
        <v>2.4922200791328564E-2</v>
      </c>
      <c r="E6" s="11"/>
      <c r="F6" s="10"/>
      <c r="G6" s="10"/>
      <c r="H6" s="10"/>
    </row>
    <row r="7" spans="1:8" x14ac:dyDescent="0.25">
      <c r="A7" s="2">
        <v>44108</v>
      </c>
      <c r="B7" s="130">
        <v>2.9194309837997E-2</v>
      </c>
      <c r="C7" s="130">
        <f>INDEX(Main!$F$2:$F$324,MATCH(A7,Main!$D$2:$D$324,1)+1)</f>
        <v>2.9888062439056284E-2</v>
      </c>
      <c r="E7" s="11"/>
      <c r="F7" s="10"/>
      <c r="G7" s="10"/>
      <c r="H7" s="10"/>
    </row>
    <row r="8" spans="1:8" x14ac:dyDescent="0.25">
      <c r="A8" s="2">
        <v>44139</v>
      </c>
      <c r="B8" s="130">
        <v>2.9194298000678701E-2</v>
      </c>
      <c r="C8" s="130">
        <f>INDEX(Main!$F$2:$F$324,MATCH(A8,Main!$D$2:$D$324,1)+1)</f>
        <v>2.9888062439056284E-2</v>
      </c>
      <c r="E8" s="11"/>
      <c r="F8" s="10"/>
      <c r="G8" s="10"/>
      <c r="H8" s="10"/>
    </row>
    <row r="9" spans="1:8" x14ac:dyDescent="0.25">
      <c r="A9" s="2">
        <v>44169</v>
      </c>
      <c r="B9" s="130">
        <v>3.48337988345606E-2</v>
      </c>
      <c r="C9" s="130">
        <f>INDEX(Main!$F$2:$F$324,MATCH(A9,Main!$D$2:$D$324,1)+1)</f>
        <v>2.9888062439056284E-2</v>
      </c>
      <c r="E9" s="11"/>
      <c r="F9" s="10"/>
      <c r="G9" s="10"/>
      <c r="H9" s="10"/>
    </row>
    <row r="10" spans="1:8" x14ac:dyDescent="0.25">
      <c r="A10" s="2">
        <v>44200</v>
      </c>
      <c r="B10" s="130">
        <v>3.8395595469225198E-2</v>
      </c>
      <c r="C10" s="130">
        <f>INDEX(Main!$F$2:$F$324,MATCH(A10,Main!$D$2:$D$324,1)+1)</f>
        <v>3.9801330691737746E-2</v>
      </c>
      <c r="E10" s="11"/>
      <c r="F10" s="10"/>
      <c r="G10" s="10"/>
      <c r="H10" s="10"/>
    </row>
    <row r="11" spans="1:8" x14ac:dyDescent="0.25">
      <c r="A11" s="2">
        <v>44231</v>
      </c>
      <c r="B11" s="130">
        <v>3.8395534044166603E-2</v>
      </c>
      <c r="C11" s="130">
        <f>INDEX(Main!$F$2:$F$324,MATCH(A11,Main!$D$2:$D$324,1)+1)</f>
        <v>3.9801330691737746E-2</v>
      </c>
      <c r="E11" s="11"/>
      <c r="F11" s="10"/>
      <c r="G11" s="10"/>
      <c r="H11" s="10"/>
    </row>
    <row r="12" spans="1:8" x14ac:dyDescent="0.25">
      <c r="A12" s="2">
        <v>44260</v>
      </c>
      <c r="B12" s="130">
        <v>4.37083602461419E-2</v>
      </c>
      <c r="C12" s="130">
        <f>INDEX(Main!$F$2:$F$324,MATCH(A12,Main!$D$2:$D$324,1)+1)</f>
        <v>3.9801330691737746E-2</v>
      </c>
      <c r="E12" s="11"/>
      <c r="F12" s="10"/>
      <c r="G12" s="10"/>
      <c r="H12" s="10"/>
    </row>
    <row r="13" spans="1:8" x14ac:dyDescent="0.25">
      <c r="A13" s="2">
        <v>44290</v>
      </c>
      <c r="B13" s="130">
        <v>4.7343348016592998E-2</v>
      </c>
      <c r="C13" s="130">
        <f>INDEX(Main!$F$2:$F$324,MATCH(A13,Main!$D$2:$D$324,1)+1)</f>
        <v>4.9690094149505981E-2</v>
      </c>
      <c r="E13" s="11"/>
      <c r="F13" s="10"/>
      <c r="G13" s="10"/>
      <c r="H13" s="10"/>
    </row>
    <row r="14" spans="1:8" x14ac:dyDescent="0.25">
      <c r="A14" s="2">
        <v>44320</v>
      </c>
      <c r="B14" s="130">
        <v>4.73433791465733E-2</v>
      </c>
      <c r="C14" s="130">
        <f>INDEX(Main!$F$2:$F$324,MATCH(A14,Main!$D$2:$D$324,1)+1)</f>
        <v>4.9690094149505981E-2</v>
      </c>
      <c r="E14" s="11"/>
      <c r="F14" s="10"/>
      <c r="G14" s="10"/>
      <c r="H14" s="10"/>
    </row>
    <row r="15" spans="1:8" x14ac:dyDescent="0.25">
      <c r="A15" s="2">
        <v>44353</v>
      </c>
      <c r="B15" s="130">
        <v>4.9656720463781001E-2</v>
      </c>
      <c r="C15" s="130">
        <f>INDEX(Main!$F$2:$F$324,MATCH(A15,Main!$D$2:$D$324,1)+1)</f>
        <v>4.9690094149505981E-2</v>
      </c>
      <c r="E15" s="11"/>
      <c r="F15" s="10"/>
      <c r="G15" s="10"/>
      <c r="H15" s="10"/>
    </row>
    <row r="16" spans="1:8" x14ac:dyDescent="0.25">
      <c r="A16" s="2">
        <v>44381</v>
      </c>
      <c r="B16" s="130">
        <v>5.1044672671406097E-2</v>
      </c>
      <c r="C16" s="130">
        <f>INDEX(Main!$F$2:$F$324,MATCH(A16,Main!$D$2:$D$324,1)+1)</f>
        <v>5.4625324589823165E-2</v>
      </c>
      <c r="E16" s="11"/>
      <c r="F16" s="10"/>
      <c r="G16" s="10"/>
      <c r="H16" s="10"/>
    </row>
    <row r="17" spans="1:8" x14ac:dyDescent="0.25">
      <c r="A17" s="2">
        <v>44415</v>
      </c>
      <c r="B17" s="130">
        <v>5.1044781234795902E-2</v>
      </c>
      <c r="C17" s="130">
        <f>INDEX(Main!$F$2:$F$324,MATCH(A17,Main!$D$2:$D$324,1)+1)</f>
        <v>5.4625324589823165E-2</v>
      </c>
      <c r="E17" s="11"/>
      <c r="F17" s="10"/>
      <c r="G17" s="10"/>
      <c r="H17" s="10"/>
    </row>
    <row r="18" spans="1:8" x14ac:dyDescent="0.25">
      <c r="A18" s="2">
        <v>44443</v>
      </c>
      <c r="B18" s="130">
        <v>6.4310239678100303E-2</v>
      </c>
      <c r="C18" s="130">
        <f>INDEX(Main!$F$2:$F$324,MATCH(A18,Main!$D$2:$D$324,1)+1)</f>
        <v>5.4625324589823165E-2</v>
      </c>
      <c r="E18" s="11"/>
      <c r="F18" s="10"/>
      <c r="G18" s="10"/>
      <c r="H18" s="10"/>
    </row>
    <row r="19" spans="1:8" x14ac:dyDescent="0.25">
      <c r="A19" s="2">
        <v>44473</v>
      </c>
      <c r="B19" s="130">
        <v>6.9134198122911703E-2</v>
      </c>
      <c r="C19" s="130">
        <f>INDEX(Main!$F$2:$F$324,MATCH(A19,Main!$D$2:$D$324,1)+1)</f>
        <v>5.9554474329477358E-2</v>
      </c>
      <c r="E19" s="11"/>
      <c r="F19" s="10"/>
      <c r="G19" s="10"/>
      <c r="H19" s="10"/>
    </row>
    <row r="20" spans="1:8" x14ac:dyDescent="0.25">
      <c r="A20" s="2">
        <v>44506</v>
      </c>
      <c r="B20" s="130">
        <v>6.9134264504167001E-2</v>
      </c>
      <c r="C20" s="130">
        <f>INDEX(Main!$F$2:$F$324,MATCH(A20,Main!$D$2:$D$324,1)+1)</f>
        <v>5.9554474329477358E-2</v>
      </c>
      <c r="E20" s="11"/>
      <c r="F20" s="10"/>
      <c r="G20" s="10"/>
      <c r="H20" s="10"/>
    </row>
    <row r="21" spans="1:8" x14ac:dyDescent="0.25">
      <c r="A21" s="2">
        <v>44534</v>
      </c>
      <c r="B21" s="130">
        <v>6.9134198123169593E-2</v>
      </c>
      <c r="C21" s="130">
        <f>INDEX(Main!$F$2:$F$324,MATCH(A21,Main!$D$2:$D$324,1)+1)</f>
        <v>5.9554474329477358E-2</v>
      </c>
      <c r="E21" s="11"/>
      <c r="F21" s="10"/>
      <c r="G21" s="10"/>
      <c r="H21" s="10"/>
    </row>
    <row r="22" spans="1:8" x14ac:dyDescent="0.25">
      <c r="A22" s="2">
        <v>44565</v>
      </c>
      <c r="B22" s="130">
        <v>6.9134198122911703E-2</v>
      </c>
      <c r="C22" s="130">
        <f>INDEX(Main!$F$2:$F$324,MATCH(A22,Main!$D$2:$D$324,1)+1)</f>
        <v>3.1474893042360785E-2</v>
      </c>
      <c r="E22" s="11"/>
      <c r="F22" s="10"/>
      <c r="G22" s="10"/>
      <c r="H22" s="10"/>
    </row>
    <row r="23" spans="1:8" x14ac:dyDescent="0.25">
      <c r="A23" s="2">
        <v>44596</v>
      </c>
      <c r="B23" s="130">
        <v>6.9133998979850203E-2</v>
      </c>
      <c r="C23" s="130">
        <f>INDEX(Main!$F$2:$F$324,MATCH(A23,Main!$D$2:$D$324,1)+1)</f>
        <v>3.1474893042360785E-2</v>
      </c>
      <c r="E23" s="11"/>
      <c r="F23" s="10"/>
      <c r="G23" s="10"/>
      <c r="H23" s="10"/>
    </row>
    <row r="24" spans="1:8" x14ac:dyDescent="0.25">
      <c r="A24" s="2">
        <v>44624</v>
      </c>
      <c r="B24" s="130">
        <v>6.9134198123169593E-2</v>
      </c>
      <c r="C24" s="130">
        <f>INDEX(Main!$F$2:$F$324,MATCH(A24,Main!$D$2:$D$324,1)+1)</f>
        <v>3.1474893042360785E-2</v>
      </c>
      <c r="E24" s="11"/>
      <c r="F24" s="10"/>
      <c r="G24" s="10"/>
      <c r="H24" s="10"/>
    </row>
    <row r="25" spans="1:8" x14ac:dyDescent="0.25">
      <c r="A25" s="2">
        <v>44655</v>
      </c>
      <c r="B25" s="130">
        <v>6.9134131741765997E-2</v>
      </c>
      <c r="C25" s="130">
        <f>INDEX(Main!$F$2:$F$324,MATCH(A25,Main!$D$2:$D$324,1)+1)</f>
        <v>3.1474893042360785E-2</v>
      </c>
      <c r="E25" s="11"/>
      <c r="F25" s="10"/>
      <c r="G25" s="10"/>
      <c r="H25" s="10"/>
    </row>
    <row r="26" spans="1:8" x14ac:dyDescent="0.25">
      <c r="A26" s="2">
        <v>44687</v>
      </c>
      <c r="B26" s="130">
        <v>0.107927829418809</v>
      </c>
      <c r="C26" s="130">
        <f>INDEX(Main!$F$2:$F$324,MATCH(A26,Main!$D$2:$D$324,1)+1)</f>
        <v>0.10600089394531055</v>
      </c>
      <c r="E26" s="11"/>
      <c r="F26" s="10"/>
      <c r="G26" s="10"/>
      <c r="H26" s="10"/>
    </row>
    <row r="27" spans="1:8" x14ac:dyDescent="0.25">
      <c r="A27" s="2">
        <v>44717</v>
      </c>
      <c r="B27" s="130">
        <v>0.11043017504031</v>
      </c>
      <c r="C27" s="130">
        <f>INDEX(Main!$F$2:$F$324,MATCH(A27,Main!$D$2:$D$324,1)+1)</f>
        <v>0.10600089394531055</v>
      </c>
      <c r="E27" s="11"/>
      <c r="F27" s="10"/>
      <c r="G27" s="10"/>
      <c r="H27" s="10"/>
    </row>
    <row r="28" spans="1:8" x14ac:dyDescent="0.25">
      <c r="A28" s="2">
        <v>44746</v>
      </c>
      <c r="B28" s="130">
        <v>0.110430344407669</v>
      </c>
      <c r="C28" s="130">
        <f>INDEX(Main!$F$2:$F$324,MATCH(A28,Main!$D$2:$D$324,1)+1)</f>
        <v>0.10600089394531055</v>
      </c>
      <c r="E28" s="11"/>
      <c r="F28" s="10"/>
      <c r="G28" s="10"/>
      <c r="H28" s="10"/>
    </row>
    <row r="29" spans="1:8" x14ac:dyDescent="0.25">
      <c r="A29" s="2">
        <v>44779</v>
      </c>
      <c r="B29" s="130">
        <v>0.11043068314380899</v>
      </c>
      <c r="C29" s="130">
        <f>INDEX(Main!$F$2:$F$324,MATCH(A29,Main!$D$2:$D$324,1)+1)</f>
        <v>0.10600089394531055</v>
      </c>
      <c r="E29" s="11"/>
      <c r="F29" s="10"/>
      <c r="G29" s="10"/>
      <c r="H29" s="10"/>
    </row>
    <row r="30" spans="1:8" x14ac:dyDescent="0.25">
      <c r="A30" s="2">
        <v>44808</v>
      </c>
      <c r="B30" s="130">
        <v>0.11043017504031</v>
      </c>
      <c r="C30" s="130">
        <f>INDEX(Main!$F$2:$F$324,MATCH(A30,Main!$D$2:$D$324,1)+1)</f>
        <v>0.10600089394531055</v>
      </c>
      <c r="E30" s="11"/>
      <c r="F30" s="10"/>
      <c r="G30" s="10"/>
      <c r="H30" s="10"/>
    </row>
    <row r="31" spans="1:8" x14ac:dyDescent="0.25">
      <c r="A31" s="2">
        <v>44838</v>
      </c>
      <c r="B31" s="130">
        <v>0.110430344407669</v>
      </c>
      <c r="C31" s="130">
        <f>INDEX(Main!$F$2:$F$324,MATCH(A31,Main!$D$2:$D$324,1)+1)</f>
        <v>0.10600089394531055</v>
      </c>
      <c r="E31" s="11"/>
      <c r="F31" s="10"/>
      <c r="G31" s="10"/>
      <c r="H31" s="10"/>
    </row>
    <row r="32" spans="1:8" x14ac:dyDescent="0.25">
      <c r="A32" s="2">
        <v>44870</v>
      </c>
      <c r="B32" s="130">
        <v>0.110430344407669</v>
      </c>
      <c r="C32" s="130">
        <f>INDEX(Main!$F$2:$F$324,MATCH(A32,Main!$D$2:$D$324,1)+1)</f>
        <v>0.10600089394531055</v>
      </c>
      <c r="E32" s="11"/>
      <c r="F32" s="10"/>
      <c r="G32" s="10"/>
      <c r="H32" s="10"/>
    </row>
    <row r="33" spans="1:8" x14ac:dyDescent="0.25">
      <c r="A33" s="2">
        <v>44899</v>
      </c>
      <c r="B33" s="130">
        <v>0.110430344407927</v>
      </c>
      <c r="C33" s="130">
        <f>INDEX(Main!$F$2:$F$324,MATCH(A33,Main!$D$2:$D$324,1)+1)</f>
        <v>0.10600089394531055</v>
      </c>
      <c r="E33" s="11"/>
      <c r="F33" s="10"/>
      <c r="G33" s="10"/>
      <c r="H33" s="10"/>
    </row>
    <row r="34" spans="1:8" x14ac:dyDescent="0.25">
      <c r="A34" s="2">
        <v>44932</v>
      </c>
      <c r="B34" s="130">
        <v>0.110430683144051</v>
      </c>
      <c r="C34" s="130">
        <f>INDEX(Main!$F$2:$F$324,MATCH(A34,Main!$D$2:$D$324,1)+1)</f>
        <v>0.10600089394531055</v>
      </c>
      <c r="E34" s="11"/>
      <c r="F34" s="10"/>
      <c r="G34" s="10"/>
      <c r="H34" s="10"/>
    </row>
    <row r="35" spans="1:8" x14ac:dyDescent="0.25">
      <c r="A35" s="2">
        <v>44963</v>
      </c>
      <c r="B35" s="130">
        <v>0.110429836306127</v>
      </c>
      <c r="C35" s="130">
        <f>INDEX(Main!$F$2:$F$324,MATCH(A35,Main!$D$2:$D$324,1)+1)</f>
        <v>0.10600089394531055</v>
      </c>
      <c r="E35" s="11"/>
      <c r="F35" s="10"/>
      <c r="G35" s="10"/>
      <c r="H35" s="10"/>
    </row>
    <row r="36" spans="1:8" x14ac:dyDescent="0.25">
      <c r="A36" s="2">
        <v>44989</v>
      </c>
      <c r="B36" s="130">
        <v>0.110430344407669</v>
      </c>
      <c r="C36" s="130">
        <f>INDEX(Main!$F$2:$F$324,MATCH(A36,Main!$D$2:$D$324,1)+1)</f>
        <v>0.10600089394531055</v>
      </c>
      <c r="E36" s="11"/>
      <c r="F36" s="10"/>
      <c r="G36" s="10"/>
      <c r="H36" s="10"/>
    </row>
    <row r="37" spans="1:8" x14ac:dyDescent="0.25">
      <c r="A37" s="2">
        <v>45020</v>
      </c>
      <c r="B37" s="130">
        <v>0.11043017504031</v>
      </c>
      <c r="C37" s="130">
        <f>INDEX(Main!$F$2:$F$324,MATCH(A37,Main!$D$2:$D$324,1)+1)</f>
        <v>0.10600089394531055</v>
      </c>
      <c r="E37" s="11"/>
      <c r="F37" s="10"/>
      <c r="G37" s="10"/>
      <c r="H37" s="10"/>
    </row>
    <row r="38" spans="1:8" x14ac:dyDescent="0.25">
      <c r="A38" s="2">
        <v>45051</v>
      </c>
      <c r="B38" s="130">
        <v>0.20612944875886299</v>
      </c>
      <c r="C38" s="130">
        <f>INDEX(Main!$F$2:$F$324,MATCH(A38,Main!$D$2:$D$324,1)+1)</f>
        <v>0.21411572236205206</v>
      </c>
      <c r="E38" s="11"/>
      <c r="F38" s="10"/>
      <c r="G38" s="10"/>
      <c r="H38" s="10"/>
    </row>
    <row r="39" spans="1:8" x14ac:dyDescent="0.25">
      <c r="A39" s="2">
        <v>45082</v>
      </c>
      <c r="B39" s="130">
        <v>0.21980004772483899</v>
      </c>
      <c r="C39" s="130">
        <f>INDEX(Main!$F$2:$F$324,MATCH(A39,Main!$D$2:$D$324,1)+1)</f>
        <v>0.21411572236205206</v>
      </c>
      <c r="E39" s="11"/>
      <c r="F39" s="10"/>
      <c r="G39" s="10"/>
      <c r="H39" s="10"/>
    </row>
    <row r="40" spans="1:8" x14ac:dyDescent="0.25">
      <c r="A40" s="2">
        <v>45111</v>
      </c>
      <c r="B40" s="130">
        <v>0.21980206061680099</v>
      </c>
      <c r="C40" s="130">
        <f>INDEX(Main!$F$2:$F$324,MATCH(A40,Main!$D$2:$D$324,1)+1)</f>
        <v>0.21411572236205206</v>
      </c>
      <c r="E40" s="11"/>
      <c r="F40" s="10"/>
      <c r="G40" s="10"/>
      <c r="H40" s="10"/>
    </row>
    <row r="41" spans="1:8" x14ac:dyDescent="0.25">
      <c r="A41" s="2">
        <v>45143</v>
      </c>
      <c r="B41" s="130">
        <v>0.21980138965002599</v>
      </c>
      <c r="C41" s="130">
        <f>INDEX(Main!$F$2:$F$324,MATCH(A41,Main!$D$2:$D$324,1)+1)</f>
        <v>0.21411572236205206</v>
      </c>
      <c r="E41" s="11"/>
      <c r="F41" s="10"/>
      <c r="G41" s="10"/>
      <c r="H41" s="10"/>
    </row>
    <row r="42" spans="1:8" x14ac:dyDescent="0.25">
      <c r="A42" s="2">
        <v>45173</v>
      </c>
      <c r="B42" s="130">
        <v>0.219800047725105</v>
      </c>
      <c r="C42" s="130">
        <f>INDEX(Main!$F$2:$F$324,MATCH(A42,Main!$D$2:$D$324,1)+1)</f>
        <v>0.21411572236205206</v>
      </c>
      <c r="E42" s="11"/>
      <c r="F42" s="10"/>
      <c r="G42" s="10"/>
      <c r="H42" s="10"/>
    </row>
    <row r="43" spans="1:8" x14ac:dyDescent="0.25">
      <c r="A43" s="2">
        <v>45205</v>
      </c>
      <c r="B43" s="130">
        <v>0.21980206061704299</v>
      </c>
      <c r="C43" s="130">
        <f>INDEX(Main!$F$2:$F$324,MATCH(A43,Main!$D$2:$D$324,1)+1)</f>
        <v>0.21411572236205206</v>
      </c>
      <c r="E43" s="11"/>
      <c r="F43" s="10"/>
      <c r="G43" s="10"/>
      <c r="H43" s="10"/>
    </row>
    <row r="44" spans="1:8" x14ac:dyDescent="0.25">
      <c r="A44" s="2">
        <v>45234</v>
      </c>
      <c r="B44" s="130">
        <v>0.219800047725105</v>
      </c>
      <c r="C44" s="130">
        <f>INDEX(Main!$F$2:$F$324,MATCH(A44,Main!$D$2:$D$324,1)+1)</f>
        <v>0.21411572236205206</v>
      </c>
      <c r="E44" s="11"/>
      <c r="F44" s="10"/>
      <c r="G44" s="10"/>
      <c r="H44" s="10"/>
    </row>
    <row r="45" spans="1:8" x14ac:dyDescent="0.25">
      <c r="A45" s="2">
        <v>45264</v>
      </c>
      <c r="B45" s="130">
        <v>0.219800718686121</v>
      </c>
      <c r="C45" s="130">
        <f>INDEX(Main!$F$2:$F$324,MATCH(A45,Main!$D$2:$D$324,1)+1)</f>
        <v>0.21411572236205206</v>
      </c>
      <c r="E45" s="11"/>
      <c r="F45" s="10"/>
      <c r="G45" s="10"/>
      <c r="H45" s="10"/>
    </row>
    <row r="46" spans="1:8" x14ac:dyDescent="0.25">
      <c r="A46" s="2">
        <v>45296</v>
      </c>
      <c r="B46" s="130">
        <v>0.21980138965002599</v>
      </c>
      <c r="C46" s="130">
        <f>INDEX(Main!$F$2:$F$324,MATCH(A46,Main!$D$2:$D$324,1)+1)</f>
        <v>0.21411572236205206</v>
      </c>
      <c r="E46" s="11"/>
      <c r="F46" s="10"/>
      <c r="G46" s="10"/>
      <c r="H46" s="10"/>
    </row>
    <row r="47" spans="1:8" x14ac:dyDescent="0.25">
      <c r="A47" s="2">
        <v>45326</v>
      </c>
      <c r="B47" s="130">
        <v>0.219799376766175</v>
      </c>
      <c r="C47" s="130">
        <f>INDEX(Main!$F$2:$F$324,MATCH(A47,Main!$D$2:$D$324,1)+1)</f>
        <v>0.21411572236205206</v>
      </c>
      <c r="E47" s="11"/>
      <c r="F47" s="10"/>
      <c r="G47" s="10"/>
      <c r="H47" s="10"/>
    </row>
    <row r="48" spans="1:8" x14ac:dyDescent="0.25">
      <c r="A48" s="2">
        <v>45355</v>
      </c>
      <c r="B48" s="130">
        <v>0.21980071868637899</v>
      </c>
      <c r="C48" s="130">
        <f>INDEX(Main!$F$2:$F$324,MATCH(A48,Main!$D$2:$D$324,1)+1)</f>
        <v>0.21411572236205206</v>
      </c>
      <c r="E48" s="11"/>
      <c r="F48" s="10"/>
      <c r="G48" s="10"/>
      <c r="H48" s="10"/>
    </row>
    <row r="49" spans="1:8" x14ac:dyDescent="0.25">
      <c r="A49" s="2">
        <v>45388</v>
      </c>
      <c r="B49" s="130">
        <v>0.21980138965002599</v>
      </c>
      <c r="C49" s="130">
        <f>INDEX(Main!$F$2:$F$324,MATCH(A49,Main!$D$2:$D$324,1)+1)</f>
        <v>0.21411572236205206</v>
      </c>
      <c r="E49" s="11"/>
      <c r="F49" s="10"/>
      <c r="G49" s="10"/>
      <c r="H49" s="10"/>
    </row>
    <row r="50" spans="1:8" x14ac:dyDescent="0.25">
      <c r="A50" s="2">
        <v>45416</v>
      </c>
      <c r="B50" s="130">
        <v>0.354145168997828</v>
      </c>
      <c r="C50" s="130">
        <f>INDEX(Main!$F$2:$F$324,MATCH(A50,Main!$D$2:$D$324,1)+1)</f>
        <v>0.36058119207426503</v>
      </c>
      <c r="E50" s="11"/>
      <c r="F50" s="10"/>
      <c r="G50" s="10"/>
      <c r="H50" s="10"/>
    </row>
    <row r="51" spans="1:8" x14ac:dyDescent="0.25">
      <c r="A51" s="2">
        <v>45448</v>
      </c>
      <c r="B51" s="130">
        <v>0.363410876254251</v>
      </c>
      <c r="C51" s="130">
        <f>INDEX(Main!$F$2:$F$324,MATCH(A51,Main!$D$2:$D$324,1)+1)</f>
        <v>0.36058119207426503</v>
      </c>
      <c r="E51" s="11"/>
      <c r="F51" s="10"/>
      <c r="G51" s="10"/>
      <c r="H51" s="10"/>
    </row>
    <row r="52" spans="1:8" x14ac:dyDescent="0.25">
      <c r="A52" s="2">
        <v>45478</v>
      </c>
      <c r="B52" s="130">
        <v>0.36341087625399399</v>
      </c>
      <c r="C52" s="130">
        <f>INDEX(Main!$F$2:$F$324,MATCH(A52,Main!$D$2:$D$324,1)+1)</f>
        <v>0.36058119207426503</v>
      </c>
      <c r="E52" s="11"/>
      <c r="F52" s="10"/>
      <c r="G52" s="10"/>
      <c r="H52" s="10"/>
    </row>
    <row r="53" spans="1:8" x14ac:dyDescent="0.25">
      <c r="A53" s="2">
        <v>45508</v>
      </c>
      <c r="B53" s="130">
        <v>0.363410876254251</v>
      </c>
      <c r="C53" s="130">
        <f>INDEX(Main!$F$2:$F$324,MATCH(A53,Main!$D$2:$D$324,1)+1)</f>
        <v>0.36058119207426503</v>
      </c>
      <c r="E53" s="11"/>
      <c r="F53" s="10"/>
      <c r="G53" s="10"/>
      <c r="H53" s="10"/>
    </row>
    <row r="54" spans="1:8" x14ac:dyDescent="0.25">
      <c r="A54" s="2">
        <v>45539</v>
      </c>
      <c r="B54" s="130">
        <v>0.36340904218130599</v>
      </c>
      <c r="C54" s="130">
        <f>INDEX(Main!$F$2:$F$324,MATCH(A54,Main!$D$2:$D$324,1)+1)</f>
        <v>0.36058119207426503</v>
      </c>
      <c r="E54" s="11"/>
      <c r="F54" s="10"/>
      <c r="G54" s="10"/>
      <c r="H54" s="10"/>
    </row>
    <row r="55" spans="1:8" x14ac:dyDescent="0.25">
      <c r="A55" s="2">
        <v>45569</v>
      </c>
      <c r="B55" s="130">
        <v>0.36341087625450902</v>
      </c>
      <c r="C55" s="130">
        <f>INDEX(Main!$F$2:$F$324,MATCH(A55,Main!$D$2:$D$324,1)+1)</f>
        <v>0.36058119207426503</v>
      </c>
      <c r="E55" s="11"/>
      <c r="F55" s="10"/>
      <c r="G55" s="10"/>
      <c r="H55" s="10"/>
    </row>
    <row r="56" spans="1:8" x14ac:dyDescent="0.25">
      <c r="A56" s="2">
        <v>45600</v>
      </c>
      <c r="B56" s="130">
        <v>0.36340904218103998</v>
      </c>
      <c r="C56" s="130">
        <f>INDEX(Main!$F$2:$F$324,MATCH(A56,Main!$D$2:$D$324,1)+1)</f>
        <v>0.36058119207426503</v>
      </c>
      <c r="E56" s="11"/>
      <c r="F56" s="10"/>
      <c r="G56" s="10"/>
      <c r="H56" s="10"/>
    </row>
    <row r="57" spans="1:8" x14ac:dyDescent="0.25">
      <c r="A57" s="2">
        <v>45632</v>
      </c>
      <c r="B57" s="130">
        <v>0.36341454443719401</v>
      </c>
      <c r="C57" s="130">
        <f>INDEX(Main!$F$2:$F$324,MATCH(A57,Main!$D$2:$D$324,1)+1)</f>
        <v>0.36058119207426503</v>
      </c>
      <c r="E57" s="11"/>
      <c r="F57" s="10"/>
      <c r="G57" s="10"/>
      <c r="H57" s="10"/>
    </row>
    <row r="58" spans="1:8" x14ac:dyDescent="0.25">
      <c r="A58" s="2">
        <v>45661</v>
      </c>
      <c r="B58" s="130">
        <v>0.363410876254251</v>
      </c>
      <c r="C58" s="130">
        <f>INDEX(Main!$F$2:$F$324,MATCH(A58,Main!$D$2:$D$324,1)+1)</f>
        <v>0.36058119207426503</v>
      </c>
      <c r="E58" s="11"/>
      <c r="F58" s="10"/>
      <c r="G58" s="10"/>
      <c r="H58" s="10"/>
    </row>
    <row r="59" spans="1:8" x14ac:dyDescent="0.25">
      <c r="A59" s="2">
        <v>45692</v>
      </c>
      <c r="B59" s="130">
        <v>0.36340537407251799</v>
      </c>
      <c r="C59" s="130">
        <f>INDEX(Main!$F$2:$F$324,MATCH(A59,Main!$D$2:$D$324,1)+1)</f>
        <v>0.36058119207426503</v>
      </c>
      <c r="E59" s="11"/>
      <c r="F59" s="10"/>
      <c r="G59" s="10"/>
      <c r="H59" s="10"/>
    </row>
    <row r="60" spans="1:8" x14ac:dyDescent="0.25">
      <c r="A60" s="2">
        <v>45720</v>
      </c>
      <c r="B60" s="130">
        <v>0.363410876254251</v>
      </c>
      <c r="C60" s="130">
        <f>INDEX(Main!$F$2:$F$324,MATCH(A60,Main!$D$2:$D$324,1)+1)</f>
        <v>0.36058119207426503</v>
      </c>
      <c r="E60" s="11"/>
      <c r="F60" s="10"/>
      <c r="G60" s="10"/>
      <c r="H60" s="10"/>
    </row>
    <row r="61" spans="1:8" x14ac:dyDescent="0.25">
      <c r="A61" s="2">
        <v>45752</v>
      </c>
      <c r="B61" s="130">
        <v>0.363410876254251</v>
      </c>
      <c r="C61" s="130">
        <f>INDEX(Main!$F$2:$F$324,MATCH(A61,Main!$D$2:$D$324,1)+1)</f>
        <v>0.36058119207426503</v>
      </c>
      <c r="E61" s="11"/>
      <c r="F61" s="10"/>
      <c r="G61" s="10"/>
      <c r="H61" s="10"/>
    </row>
    <row r="62" spans="1:8" x14ac:dyDescent="0.25">
      <c r="A62" s="2">
        <v>45781</v>
      </c>
      <c r="B62" s="130">
        <v>0.52594006274779703</v>
      </c>
      <c r="C62" s="130">
        <f>INDEX(Main!$F$2:$F$324,MATCH(A62,Main!$D$2:$D$324,1)+1)</f>
        <v>0.53911250922179399</v>
      </c>
      <c r="E62" s="11"/>
      <c r="F62" s="10"/>
      <c r="G62" s="10"/>
      <c r="H62" s="10"/>
    </row>
    <row r="63" spans="1:8" x14ac:dyDescent="0.25">
      <c r="A63" s="2">
        <v>45815</v>
      </c>
      <c r="B63" s="130">
        <v>0.53715782389695099</v>
      </c>
      <c r="C63" s="130">
        <f>INDEX(Main!$F$2:$F$324,MATCH(A63,Main!$D$2:$D$324,1)+1)</f>
        <v>0.53911250922179399</v>
      </c>
      <c r="E63" s="11"/>
      <c r="F63" s="10"/>
      <c r="G63" s="10"/>
      <c r="H63" s="10"/>
    </row>
    <row r="64" spans="1:8" x14ac:dyDescent="0.25">
      <c r="A64" s="2">
        <v>45842</v>
      </c>
      <c r="B64" s="130">
        <v>0.53714981033267895</v>
      </c>
      <c r="C64" s="130">
        <f>INDEX(Main!$F$2:$F$324,MATCH(A64,Main!$D$2:$D$324,1)+1)</f>
        <v>0.53911250922179399</v>
      </c>
      <c r="E64" s="11"/>
      <c r="F64" s="10"/>
      <c r="G64" s="10"/>
      <c r="H64" s="10"/>
    </row>
    <row r="65" spans="1:8" x14ac:dyDescent="0.25">
      <c r="A65" s="2">
        <v>45873</v>
      </c>
      <c r="B65" s="130">
        <v>0.53714981033319498</v>
      </c>
      <c r="C65" s="130">
        <f>INDEX(Main!$F$2:$F$324,MATCH(A65,Main!$D$2:$D$324,1)+1)</f>
        <v>0.53911250922179399</v>
      </c>
      <c r="E65" s="11"/>
      <c r="F65" s="10"/>
      <c r="G65" s="10"/>
      <c r="H65" s="10"/>
    </row>
    <row r="66" spans="1:8" x14ac:dyDescent="0.25">
      <c r="A66" s="2">
        <v>45906</v>
      </c>
      <c r="B66" s="130">
        <v>0.53715381709493204</v>
      </c>
      <c r="C66" s="130">
        <f>INDEX(Main!$F$2:$F$324,MATCH(A66,Main!$D$2:$D$324,1)+1)</f>
        <v>0.53911250922179399</v>
      </c>
      <c r="E66" s="11"/>
      <c r="F66" s="10"/>
      <c r="G66" s="10"/>
      <c r="H66" s="10"/>
    </row>
    <row r="67" spans="1:8" x14ac:dyDescent="0.25">
      <c r="A67" s="2">
        <v>45934</v>
      </c>
      <c r="B67" s="130">
        <v>0.53714981033267895</v>
      </c>
      <c r="C67" s="130">
        <f>INDEX(Main!$F$2:$F$324,MATCH(A67,Main!$D$2:$D$324,1)+1)</f>
        <v>0.53911250922179399</v>
      </c>
      <c r="E67" s="11"/>
      <c r="F67" s="10"/>
      <c r="G67" s="10"/>
      <c r="H67" s="10"/>
    </row>
    <row r="68" spans="1:8" x14ac:dyDescent="0.25">
      <c r="A68" s="2">
        <v>45965</v>
      </c>
      <c r="B68" s="130">
        <v>0.53714580361043895</v>
      </c>
      <c r="C68" s="130">
        <f>INDEX(Main!$F$2:$F$324,MATCH(A68,Main!$D$2:$D$324,1)+1)</f>
        <v>0.53911250922179399</v>
      </c>
      <c r="E68" s="11"/>
      <c r="F68" s="10"/>
      <c r="G68" s="10"/>
      <c r="H68" s="10"/>
    </row>
    <row r="69" spans="1:8" x14ac:dyDescent="0.25">
      <c r="A69" s="2">
        <v>45996</v>
      </c>
      <c r="B69" s="130">
        <v>0.53715381709493204</v>
      </c>
      <c r="C69" s="130">
        <f>INDEX(Main!$F$2:$F$324,MATCH(A69,Main!$D$2:$D$324,1)+1)</f>
        <v>0.53911250922179399</v>
      </c>
      <c r="E69" s="11"/>
      <c r="F69" s="10"/>
      <c r="G69" s="10"/>
      <c r="H69" s="10"/>
    </row>
    <row r="70" spans="1:8" x14ac:dyDescent="0.25">
      <c r="A70" s="2">
        <v>46026</v>
      </c>
      <c r="B70" s="130">
        <v>0.53714981033293696</v>
      </c>
      <c r="C70" s="130">
        <f>INDEX(Main!$F$2:$F$324,MATCH(A70,Main!$D$2:$D$324,1)+1)</f>
        <v>0.53911250922179399</v>
      </c>
      <c r="E70" s="11"/>
      <c r="F70" s="10"/>
      <c r="G70" s="10"/>
      <c r="H70" s="10"/>
    </row>
    <row r="71" spans="1:8" x14ac:dyDescent="0.25">
      <c r="A71" s="2">
        <v>46057</v>
      </c>
      <c r="B71" s="130">
        <v>0.53713779028573105</v>
      </c>
      <c r="C71" s="130">
        <f>INDEX(Main!$F$2:$F$324,MATCH(A71,Main!$D$2:$D$324,1)+1)</f>
        <v>0.53911250922179399</v>
      </c>
      <c r="E71" s="11"/>
      <c r="F71" s="10"/>
      <c r="G71" s="10"/>
      <c r="H71" s="10"/>
    </row>
    <row r="72" spans="1:8" x14ac:dyDescent="0.25">
      <c r="A72" s="2">
        <v>46087</v>
      </c>
      <c r="B72" s="130">
        <v>0.53715782389695099</v>
      </c>
      <c r="C72" s="130">
        <f>INDEX(Main!$F$2:$F$324,MATCH(A72,Main!$D$2:$D$324,1)+1)</f>
        <v>0.53911250922179399</v>
      </c>
      <c r="E72" s="11"/>
      <c r="F72" s="10"/>
      <c r="G72" s="10"/>
      <c r="H72" s="10"/>
    </row>
    <row r="73" spans="1:8" x14ac:dyDescent="0.25">
      <c r="A73" s="2">
        <v>46116</v>
      </c>
      <c r="B73" s="130">
        <v>0.53714580361043895</v>
      </c>
      <c r="C73" s="130">
        <f>INDEX(Main!$F$2:$F$324,MATCH(A73,Main!$D$2:$D$324,1)+1)</f>
        <v>0.53911250922179399</v>
      </c>
      <c r="E73" s="11"/>
      <c r="F73" s="10"/>
      <c r="G73" s="10"/>
      <c r="H73" s="10"/>
    </row>
    <row r="74" spans="1:8" x14ac:dyDescent="0.25">
      <c r="A74" s="2">
        <v>46146</v>
      </c>
      <c r="B74" s="130">
        <v>0.53714981033293696</v>
      </c>
      <c r="C74" s="130">
        <f>INDEX(Main!$F$2:$F$324,MATCH(A74,Main!$D$2:$D$324,1)+1)</f>
        <v>0.53911250922179399</v>
      </c>
      <c r="E74" s="11"/>
      <c r="F74" s="10"/>
      <c r="G74" s="10"/>
      <c r="H74" s="10"/>
    </row>
    <row r="75" spans="1:8" x14ac:dyDescent="0.25">
      <c r="A75" s="2">
        <v>46179</v>
      </c>
      <c r="B75" s="130">
        <v>0.53715381709493204</v>
      </c>
      <c r="C75" s="130">
        <f>INDEX(Main!$F$2:$F$324,MATCH(A75,Main!$D$2:$D$324,1)+1)</f>
        <v>0.53911250922179399</v>
      </c>
      <c r="E75" s="11"/>
      <c r="F75" s="10"/>
      <c r="G75" s="10"/>
      <c r="H75" s="10"/>
    </row>
    <row r="76" spans="1:8" x14ac:dyDescent="0.25">
      <c r="A76" s="2">
        <v>46207</v>
      </c>
      <c r="B76" s="130">
        <v>0.53714981033293696</v>
      </c>
      <c r="C76" s="130">
        <f>INDEX(Main!$F$2:$F$324,MATCH(A76,Main!$D$2:$D$324,1)+1)</f>
        <v>0.53911250922179399</v>
      </c>
      <c r="E76" s="11"/>
      <c r="F76" s="10"/>
      <c r="G76" s="10"/>
      <c r="H76" s="10"/>
    </row>
    <row r="77" spans="1:8" x14ac:dyDescent="0.25">
      <c r="A77" s="2">
        <v>46238</v>
      </c>
      <c r="B77" s="130">
        <v>0.53714981033242104</v>
      </c>
      <c r="C77" s="130">
        <f>INDEX(Main!$F$2:$F$324,MATCH(A77,Main!$D$2:$D$324,1)+1)</f>
        <v>0.53911250922179399</v>
      </c>
      <c r="E77" s="11"/>
      <c r="F77" s="10"/>
      <c r="G77" s="10"/>
      <c r="H77" s="10"/>
    </row>
    <row r="78" spans="1:8" x14ac:dyDescent="0.25">
      <c r="A78" s="2">
        <v>46270</v>
      </c>
      <c r="B78" s="130">
        <v>0.53714981033293696</v>
      </c>
      <c r="C78" s="130">
        <f>INDEX(Main!$F$2:$F$324,MATCH(A78,Main!$D$2:$D$324,1)+1)</f>
        <v>0.53911250922179399</v>
      </c>
      <c r="E78" s="11"/>
      <c r="F78" s="10"/>
      <c r="G78" s="10"/>
      <c r="H78" s="10"/>
    </row>
    <row r="79" spans="1:8" x14ac:dyDescent="0.25">
      <c r="A79" s="2">
        <v>46299</v>
      </c>
      <c r="B79" s="130">
        <v>0.53714981033267895</v>
      </c>
      <c r="C79" s="130">
        <f>INDEX(Main!$F$2:$F$324,MATCH(A79,Main!$D$2:$D$324,1)+1)</f>
        <v>0.53911250922179399</v>
      </c>
      <c r="E79" s="11"/>
      <c r="F79" s="10"/>
      <c r="G79" s="10"/>
      <c r="H79" s="10"/>
    </row>
    <row r="80" spans="1:8" x14ac:dyDescent="0.25">
      <c r="A80" s="2">
        <v>46330</v>
      </c>
      <c r="B80" s="130">
        <v>0.53714580361043895</v>
      </c>
      <c r="C80" s="130">
        <f>INDEX(Main!$F$2:$F$324,MATCH(A80,Main!$D$2:$D$324,1)+1)</f>
        <v>0.53911250922179399</v>
      </c>
      <c r="E80" s="11"/>
      <c r="F80" s="10"/>
      <c r="G80" s="10"/>
      <c r="H80" s="10"/>
    </row>
    <row r="81" spans="1:8" x14ac:dyDescent="0.25">
      <c r="A81" s="2">
        <v>46360</v>
      </c>
      <c r="B81" s="130">
        <v>0.53714981033293696</v>
      </c>
      <c r="C81" s="130">
        <f>INDEX(Main!$F$2:$F$324,MATCH(A81,Main!$D$2:$D$324,1)+1)</f>
        <v>0.53911250922179399</v>
      </c>
      <c r="E81" s="11"/>
      <c r="F81" s="10"/>
      <c r="G81" s="10"/>
      <c r="H81" s="10"/>
    </row>
    <row r="82" spans="1:8" x14ac:dyDescent="0.25">
      <c r="A82" s="2">
        <v>46391</v>
      </c>
      <c r="B82" s="130">
        <v>0.53714981033293696</v>
      </c>
      <c r="C82" s="130">
        <f>INDEX(Main!$F$2:$F$324,MATCH(A82,Main!$D$2:$D$324,1)+1)</f>
        <v>0.53911250922179399</v>
      </c>
      <c r="E82" s="11"/>
      <c r="F82" s="10"/>
      <c r="G82" s="10"/>
      <c r="H82" s="10"/>
    </row>
    <row r="83" spans="1:8" x14ac:dyDescent="0.25">
      <c r="A83" s="2">
        <v>46422</v>
      </c>
      <c r="B83" s="130">
        <v>0.53713779028515996</v>
      </c>
      <c r="C83" s="130">
        <f>INDEX(Main!$F$2:$F$324,MATCH(A83,Main!$D$2:$D$324,1)+1)</f>
        <v>0.53911250922179399</v>
      </c>
      <c r="E83" s="11"/>
      <c r="F83" s="10"/>
      <c r="G83" s="10"/>
      <c r="H83" s="10"/>
    </row>
    <row r="84" spans="1:8" x14ac:dyDescent="0.25">
      <c r="A84" s="2">
        <v>46451</v>
      </c>
      <c r="B84" s="130">
        <v>0.53715381709493204</v>
      </c>
      <c r="C84" s="130">
        <f>INDEX(Main!$F$2:$F$324,MATCH(A84,Main!$D$2:$D$324,1)+1)</f>
        <v>0.53911250922179399</v>
      </c>
      <c r="E84" s="11"/>
      <c r="F84" s="10"/>
      <c r="G84" s="10"/>
      <c r="H84" s="10"/>
    </row>
    <row r="85" spans="1:8" x14ac:dyDescent="0.25">
      <c r="A85" s="2">
        <v>46481</v>
      </c>
      <c r="B85" s="130">
        <v>0.53714580361070596</v>
      </c>
      <c r="C85" s="130">
        <f>INDEX(Main!$F$2:$F$324,MATCH(A85,Main!$D$2:$D$324,1)+1)</f>
        <v>0.53911250922179399</v>
      </c>
      <c r="E85" s="11"/>
      <c r="F85" s="10"/>
      <c r="G85" s="10"/>
      <c r="H85" s="10"/>
    </row>
    <row r="86" spans="1:8" x14ac:dyDescent="0.25">
      <c r="A86" s="2">
        <v>46511</v>
      </c>
      <c r="B86" s="130">
        <v>0.67038675727975605</v>
      </c>
      <c r="C86" s="130">
        <f>INDEX(Main!$F$2:$F$324,MATCH(A86,Main!$D$2:$D$324,1)+1)</f>
        <v>0.67715377935281451</v>
      </c>
      <c r="E86" s="11"/>
      <c r="F86" s="10"/>
      <c r="G86" s="10"/>
      <c r="H86" s="10"/>
    </row>
    <row r="87" spans="1:8" x14ac:dyDescent="0.25">
      <c r="A87" s="2">
        <v>46544</v>
      </c>
      <c r="B87" s="130">
        <v>0.67958248844263203</v>
      </c>
      <c r="C87" s="130">
        <f>INDEX(Main!$F$2:$F$324,MATCH(A87,Main!$D$2:$D$324,1)+1)</f>
        <v>0.67715377935281451</v>
      </c>
      <c r="E87" s="11"/>
      <c r="F87" s="10"/>
      <c r="G87" s="10"/>
      <c r="H87" s="10"/>
    </row>
    <row r="88" spans="1:8" x14ac:dyDescent="0.25">
      <c r="A88" s="2">
        <v>46572</v>
      </c>
      <c r="B88" s="130">
        <v>0.67957607543545795</v>
      </c>
      <c r="C88" s="130">
        <f>INDEX(Main!$F$2:$F$324,MATCH(A88,Main!$D$2:$D$324,1)+1)</f>
        <v>0.67715377935281451</v>
      </c>
      <c r="E88" s="11"/>
      <c r="F88" s="10"/>
      <c r="G88" s="10"/>
      <c r="H88" s="10"/>
    </row>
    <row r="89" spans="1:8" x14ac:dyDescent="0.25">
      <c r="A89" s="2">
        <v>46606</v>
      </c>
      <c r="B89" s="130">
        <v>0.67959531469824797</v>
      </c>
      <c r="C89" s="130">
        <f>INDEX(Main!$F$2:$F$324,MATCH(A89,Main!$D$2:$D$324,1)+1)</f>
        <v>0.67715377935281451</v>
      </c>
      <c r="E89" s="11"/>
      <c r="F89" s="10"/>
      <c r="G89" s="10"/>
      <c r="H89" s="10"/>
    </row>
    <row r="90" spans="1:8" x14ac:dyDescent="0.25">
      <c r="A90" s="2">
        <v>46634</v>
      </c>
      <c r="B90" s="130">
        <v>0.67956966250974904</v>
      </c>
      <c r="C90" s="130">
        <f>INDEX(Main!$F$2:$F$324,MATCH(A90,Main!$D$2:$D$324,1)+1)</f>
        <v>0.67715377935281451</v>
      </c>
      <c r="E90" s="11"/>
      <c r="F90" s="10"/>
      <c r="G90" s="10"/>
      <c r="H90" s="10"/>
    </row>
    <row r="91" spans="1:8" x14ac:dyDescent="0.25">
      <c r="A91" s="2">
        <v>46664</v>
      </c>
      <c r="B91" s="130">
        <v>0.67957607543571596</v>
      </c>
      <c r="C91" s="130">
        <f>INDEX(Main!$F$2:$F$324,MATCH(A91,Main!$D$2:$D$324,1)+1)</f>
        <v>0.67715377935281451</v>
      </c>
      <c r="E91" s="11"/>
      <c r="F91" s="10"/>
      <c r="G91" s="10"/>
      <c r="H91" s="10"/>
    </row>
    <row r="92" spans="1:8" x14ac:dyDescent="0.25">
      <c r="A92" s="2">
        <v>46697</v>
      </c>
      <c r="B92" s="130">
        <v>0.679582488442382</v>
      </c>
      <c r="C92" s="130">
        <f>INDEX(Main!$F$2:$F$324,MATCH(A92,Main!$D$2:$D$324,1)+1)</f>
        <v>0.67715377935281451</v>
      </c>
      <c r="E92" s="11"/>
      <c r="F92" s="10"/>
      <c r="G92" s="10"/>
      <c r="H92" s="10"/>
    </row>
    <row r="93" spans="1:8" x14ac:dyDescent="0.25">
      <c r="A93" s="2">
        <v>46725</v>
      </c>
      <c r="B93" s="130">
        <v>0.67957607543571596</v>
      </c>
      <c r="C93" s="130">
        <f>INDEX(Main!$F$2:$F$324,MATCH(A93,Main!$D$2:$D$324,1)+1)</f>
        <v>0.67715377935281451</v>
      </c>
      <c r="E93" s="11"/>
      <c r="F93" s="10"/>
      <c r="G93" s="10"/>
      <c r="H93" s="10"/>
    </row>
    <row r="94" spans="1:8" x14ac:dyDescent="0.25">
      <c r="A94" s="2">
        <v>46756</v>
      </c>
      <c r="B94" s="130">
        <v>0.67957607543571596</v>
      </c>
      <c r="C94" s="130">
        <f>INDEX(Main!$F$2:$F$324,MATCH(A94,Main!$D$2:$D$324,1)+1)</f>
        <v>0.67715377935281451</v>
      </c>
      <c r="E94" s="11"/>
      <c r="F94" s="10"/>
      <c r="G94" s="10"/>
      <c r="H94" s="10"/>
    </row>
    <row r="95" spans="1:8" x14ac:dyDescent="0.25">
      <c r="A95" s="2">
        <v>46789</v>
      </c>
      <c r="B95" s="130">
        <v>0.67957607543545795</v>
      </c>
      <c r="C95" s="130">
        <f>INDEX(Main!$F$2:$F$324,MATCH(A95,Main!$D$2:$D$324,1)+1)</f>
        <v>0.67715377935281451</v>
      </c>
      <c r="E95" s="11"/>
      <c r="F95" s="10"/>
      <c r="G95" s="10"/>
      <c r="H95" s="10"/>
    </row>
    <row r="96" spans="1:8" x14ac:dyDescent="0.25">
      <c r="A96" s="2">
        <v>46816</v>
      </c>
      <c r="B96" s="130">
        <v>0.67957607543571596</v>
      </c>
      <c r="C96" s="130">
        <f>INDEX(Main!$F$2:$F$324,MATCH(A96,Main!$D$2:$D$324,1)+1)</f>
        <v>0.67715377935281451</v>
      </c>
      <c r="E96" s="11"/>
      <c r="F96" s="10"/>
      <c r="G96" s="10"/>
      <c r="H96" s="10"/>
    </row>
    <row r="97" spans="1:8" x14ac:dyDescent="0.25">
      <c r="A97" s="2">
        <v>46847</v>
      </c>
      <c r="B97" s="130">
        <v>0.67956966250974904</v>
      </c>
      <c r="C97" s="130">
        <f>INDEX(Main!$F$2:$F$324,MATCH(A97,Main!$D$2:$D$324,1)+1)</f>
        <v>0.67715377935281451</v>
      </c>
      <c r="E97" s="11"/>
      <c r="F97" s="10"/>
      <c r="G97" s="10"/>
      <c r="H97" s="10"/>
    </row>
    <row r="98" spans="1:8" x14ac:dyDescent="0.25">
      <c r="A98" s="2">
        <v>46878</v>
      </c>
      <c r="B98" s="130">
        <v>0.679582488442382</v>
      </c>
      <c r="C98" s="130">
        <f>INDEX(Main!$F$2:$F$324,MATCH(A98,Main!$D$2:$D$324,1)+1)</f>
        <v>0.67715377935281451</v>
      </c>
      <c r="E98" s="11"/>
      <c r="F98" s="10"/>
      <c r="G98" s="10"/>
      <c r="H98" s="10"/>
    </row>
    <row r="99" spans="1:8" x14ac:dyDescent="0.25">
      <c r="A99" s="2">
        <v>46909</v>
      </c>
      <c r="B99" s="130">
        <v>0.67956966250974904</v>
      </c>
      <c r="C99" s="130">
        <f>INDEX(Main!$F$2:$F$324,MATCH(A99,Main!$D$2:$D$324,1)+1)</f>
        <v>0.67715377935281451</v>
      </c>
      <c r="E99" s="11"/>
      <c r="F99" s="10"/>
      <c r="G99" s="10"/>
      <c r="H99" s="10"/>
    </row>
    <row r="100" spans="1:8" x14ac:dyDescent="0.25">
      <c r="A100" s="2">
        <v>46938</v>
      </c>
      <c r="B100" s="130">
        <v>0.67958890152992002</v>
      </c>
      <c r="C100" s="130">
        <f>INDEX(Main!$F$2:$F$324,MATCH(A100,Main!$D$2:$D$324,1)+1)</f>
        <v>0.67715377935281451</v>
      </c>
      <c r="E100" s="11"/>
      <c r="F100" s="10"/>
      <c r="G100" s="10"/>
      <c r="H100" s="10"/>
    </row>
    <row r="101" spans="1:8" x14ac:dyDescent="0.25">
      <c r="A101" s="2">
        <v>46970</v>
      </c>
      <c r="B101" s="130">
        <v>0.67958248844263203</v>
      </c>
      <c r="C101" s="130">
        <f>INDEX(Main!$F$2:$F$324,MATCH(A101,Main!$D$2:$D$324,1)+1)</f>
        <v>0.67715377935281451</v>
      </c>
      <c r="E101" s="11"/>
      <c r="F101" s="10"/>
      <c r="G101" s="10"/>
      <c r="H101" s="10"/>
    </row>
    <row r="102" spans="1:8" x14ac:dyDescent="0.25">
      <c r="A102" s="2">
        <v>47000</v>
      </c>
      <c r="B102" s="130">
        <v>0.67956966250974904</v>
      </c>
      <c r="C102" s="130">
        <f>INDEX(Main!$F$2:$F$324,MATCH(A102,Main!$D$2:$D$324,1)+1)</f>
        <v>0.67715377935281451</v>
      </c>
      <c r="E102" s="11"/>
      <c r="F102" s="10"/>
      <c r="G102" s="10"/>
      <c r="H102" s="10"/>
    </row>
    <row r="103" spans="1:8" x14ac:dyDescent="0.25">
      <c r="A103" s="2">
        <v>47032</v>
      </c>
      <c r="B103" s="130">
        <v>0.67958890152992002</v>
      </c>
      <c r="C103" s="130">
        <f>INDEX(Main!$F$2:$F$324,MATCH(A103,Main!$D$2:$D$324,1)+1)</f>
        <v>0.67715377935281451</v>
      </c>
      <c r="E103" s="11"/>
      <c r="F103" s="10"/>
      <c r="G103" s="10"/>
      <c r="H103" s="10"/>
    </row>
    <row r="104" spans="1:8" x14ac:dyDescent="0.25">
      <c r="A104" s="2">
        <v>47061</v>
      </c>
      <c r="B104" s="130">
        <v>0.67956966250974904</v>
      </c>
      <c r="C104" s="130">
        <f>INDEX(Main!$F$2:$F$324,MATCH(A104,Main!$D$2:$D$324,1)+1)</f>
        <v>0.67715377935281451</v>
      </c>
      <c r="E104" s="11"/>
      <c r="F104" s="10"/>
      <c r="G104" s="10"/>
      <c r="H104" s="10"/>
    </row>
    <row r="105" spans="1:8" x14ac:dyDescent="0.25">
      <c r="A105" s="2">
        <v>47091</v>
      </c>
      <c r="B105" s="130">
        <v>0.67957607543597398</v>
      </c>
      <c r="C105" s="130">
        <f>INDEX(Main!$F$2:$F$324,MATCH(A105,Main!$D$2:$D$324,1)+1)</f>
        <v>0.67715377935281451</v>
      </c>
      <c r="E105" s="11"/>
      <c r="F105" s="10"/>
      <c r="G105" s="10"/>
      <c r="H105" s="10"/>
    </row>
    <row r="106" spans="1:8" x14ac:dyDescent="0.25">
      <c r="A106" s="2">
        <v>47123</v>
      </c>
      <c r="B106" s="130">
        <v>0.679582488442382</v>
      </c>
      <c r="C106" s="130">
        <f>INDEX(Main!$F$2:$F$324,MATCH(A106,Main!$D$2:$D$324,1)+1)</f>
        <v>0.67715377935281451</v>
      </c>
      <c r="E106" s="11"/>
      <c r="F106" s="10"/>
      <c r="G106" s="10"/>
      <c r="H106" s="10"/>
    </row>
    <row r="107" spans="1:8" x14ac:dyDescent="0.25">
      <c r="A107" s="2">
        <v>47154</v>
      </c>
      <c r="B107" s="130">
        <v>0.67955683689938495</v>
      </c>
      <c r="C107" s="130">
        <f>INDEX(Main!$F$2:$F$324,MATCH(A107,Main!$D$2:$D$324,1)+1)</f>
        <v>0.67715377935281451</v>
      </c>
      <c r="E107" s="11"/>
      <c r="F107" s="10"/>
      <c r="G107" s="10"/>
      <c r="H107" s="10"/>
    </row>
    <row r="108" spans="1:8" x14ac:dyDescent="0.25">
      <c r="A108" s="2">
        <v>47181</v>
      </c>
      <c r="B108" s="130">
        <v>0.67957607543545795</v>
      </c>
      <c r="C108" s="130">
        <f>INDEX(Main!$F$2:$F$324,MATCH(A108,Main!$D$2:$D$324,1)+1)</f>
        <v>0.67715377935281451</v>
      </c>
      <c r="E108" s="11"/>
      <c r="F108" s="10"/>
      <c r="G108" s="10"/>
      <c r="H108" s="10"/>
    </row>
    <row r="109" spans="1:8" x14ac:dyDescent="0.25">
      <c r="A109" s="2">
        <v>47212</v>
      </c>
      <c r="B109" s="130">
        <v>0.67956966250974904</v>
      </c>
      <c r="C109" s="130">
        <f>INDEX(Main!$F$2:$F$324,MATCH(A109,Main!$D$2:$D$324,1)+1)</f>
        <v>0.67715377935281451</v>
      </c>
      <c r="E109" s="11"/>
      <c r="F109" s="10"/>
      <c r="G109" s="10"/>
      <c r="H109" s="10"/>
    </row>
    <row r="110" spans="1:8" x14ac:dyDescent="0.25">
      <c r="A110" s="2">
        <v>47242</v>
      </c>
      <c r="B110" s="130">
        <v>0.67957607543571596</v>
      </c>
      <c r="C110" s="130">
        <f>INDEX(Main!$F$2:$F$324,MATCH(A110,Main!$D$2:$D$324,1)+1)</f>
        <v>0.67715377935281451</v>
      </c>
      <c r="E110" s="11"/>
      <c r="F110" s="10"/>
      <c r="G110" s="10"/>
      <c r="H110" s="10"/>
    </row>
    <row r="111" spans="1:8" x14ac:dyDescent="0.25">
      <c r="A111" s="2">
        <v>47274</v>
      </c>
      <c r="B111" s="130">
        <v>0.67957607543545795</v>
      </c>
      <c r="C111" s="130">
        <f>INDEX(Main!$F$2:$F$324,MATCH(A111,Main!$D$2:$D$324,1)+1)</f>
        <v>0.67715377935281451</v>
      </c>
      <c r="E111" s="11"/>
      <c r="F111" s="10"/>
      <c r="G111" s="10"/>
      <c r="H111" s="10"/>
    </row>
    <row r="112" spans="1:8" x14ac:dyDescent="0.25">
      <c r="A112" s="2">
        <v>47305</v>
      </c>
      <c r="B112" s="130">
        <v>0.67958248844263203</v>
      </c>
      <c r="C112" s="130">
        <f>INDEX(Main!$F$2:$F$324,MATCH(A112,Main!$D$2:$D$324,1)+1)</f>
        <v>0.67715377935281451</v>
      </c>
      <c r="E112" s="11"/>
      <c r="F112" s="10"/>
      <c r="G112" s="10"/>
      <c r="H112" s="10"/>
    </row>
    <row r="113" spans="1:8" x14ac:dyDescent="0.25">
      <c r="A113" s="2">
        <v>47334</v>
      </c>
      <c r="B113" s="130">
        <v>0.67957607543571596</v>
      </c>
      <c r="C113" s="130">
        <f>INDEX(Main!$F$2:$F$324,MATCH(A113,Main!$D$2:$D$324,1)+1)</f>
        <v>0.67715377935281451</v>
      </c>
      <c r="E113" s="11"/>
      <c r="F113" s="10"/>
      <c r="G113" s="10"/>
      <c r="H113" s="10"/>
    </row>
    <row r="114" spans="1:8" x14ac:dyDescent="0.25">
      <c r="A114" s="2">
        <v>47365</v>
      </c>
      <c r="B114" s="130">
        <v>0.67956966250974904</v>
      </c>
      <c r="C114" s="130">
        <f>INDEX(Main!$F$2:$F$324,MATCH(A114,Main!$D$2:$D$324,1)+1)</f>
        <v>0.67715377935281451</v>
      </c>
      <c r="E114" s="11"/>
      <c r="F114" s="10"/>
      <c r="G114" s="10"/>
      <c r="H114" s="10"/>
    </row>
    <row r="115" spans="1:8" x14ac:dyDescent="0.25">
      <c r="A115" s="2">
        <v>47396</v>
      </c>
      <c r="B115" s="130">
        <v>0.679582488442382</v>
      </c>
      <c r="C115" s="130">
        <f>INDEX(Main!$F$2:$F$324,MATCH(A115,Main!$D$2:$D$324,1)+1)</f>
        <v>0.67715377935281451</v>
      </c>
      <c r="E115" s="11"/>
      <c r="F115" s="10"/>
      <c r="G115" s="10"/>
      <c r="H115" s="10"/>
    </row>
    <row r="116" spans="1:8" x14ac:dyDescent="0.25">
      <c r="A116" s="2">
        <v>47426</v>
      </c>
      <c r="B116" s="130">
        <v>0.67956966250974904</v>
      </c>
      <c r="C116" s="130">
        <f>INDEX(Main!$F$2:$F$324,MATCH(A116,Main!$D$2:$D$324,1)+1)</f>
        <v>0.67715377935281451</v>
      </c>
      <c r="E116" s="11"/>
      <c r="F116" s="10"/>
      <c r="G116" s="10"/>
      <c r="H116" s="10"/>
    </row>
    <row r="117" spans="1:8" x14ac:dyDescent="0.25">
      <c r="A117" s="2">
        <v>47456</v>
      </c>
      <c r="B117" s="130">
        <v>0.67957607543571596</v>
      </c>
      <c r="C117" s="130">
        <f>INDEX(Main!$F$2:$F$324,MATCH(A117,Main!$D$2:$D$324,1)+1)</f>
        <v>0.67715377935281451</v>
      </c>
      <c r="E117" s="11"/>
      <c r="F117" s="10"/>
      <c r="G117" s="10"/>
      <c r="H117" s="10"/>
    </row>
    <row r="118" spans="1:8" x14ac:dyDescent="0.25">
      <c r="A118" s="2">
        <v>47487</v>
      </c>
      <c r="B118" s="130">
        <v>0.67957607543545795</v>
      </c>
      <c r="C118" s="130">
        <f>INDEX(Main!$F$2:$F$324,MATCH(A118,Main!$D$2:$D$324,1)+1)</f>
        <v>0.67715377935281451</v>
      </c>
      <c r="E118" s="11"/>
      <c r="F118" s="10"/>
      <c r="G118" s="10"/>
      <c r="H118" s="10"/>
    </row>
    <row r="119" spans="1:8" x14ac:dyDescent="0.25">
      <c r="A119" s="2">
        <v>47518</v>
      </c>
      <c r="B119" s="130">
        <v>0.67955683689966995</v>
      </c>
      <c r="C119" s="130">
        <f>INDEX(Main!$F$2:$F$324,MATCH(A119,Main!$D$2:$D$324,1)+1)</f>
        <v>0.67715377935281451</v>
      </c>
      <c r="E119" s="11"/>
      <c r="F119" s="10"/>
      <c r="G119" s="10"/>
      <c r="H119" s="10"/>
    </row>
    <row r="120" spans="1:8" x14ac:dyDescent="0.25">
      <c r="A120" s="2">
        <v>47546</v>
      </c>
      <c r="B120" s="130">
        <v>0.67957607543571596</v>
      </c>
      <c r="C120" s="130">
        <f>INDEX(Main!$F$2:$F$324,MATCH(A120,Main!$D$2:$D$324,1)+1)</f>
        <v>0.67715377935281451</v>
      </c>
      <c r="E120" s="11"/>
      <c r="F120" s="10"/>
      <c r="G120" s="10"/>
      <c r="H120" s="10"/>
    </row>
    <row r="121" spans="1:8" x14ac:dyDescent="0.25">
      <c r="A121" s="2">
        <v>47579</v>
      </c>
      <c r="B121" s="130">
        <v>0.679582488442382</v>
      </c>
      <c r="C121" s="130">
        <f>INDEX(Main!$F$2:$F$324,MATCH(A121,Main!$D$2:$D$324,1)+1)</f>
        <v>0.67715377935281451</v>
      </c>
      <c r="E121" s="11"/>
      <c r="F121" s="10"/>
      <c r="G121" s="10"/>
      <c r="H121" s="10"/>
    </row>
    <row r="122" spans="1:8" x14ac:dyDescent="0.25">
      <c r="A122" s="2">
        <v>47607</v>
      </c>
      <c r="B122" s="130">
        <v>0.72377938005054099</v>
      </c>
      <c r="C122" s="130">
        <f>INDEX(Main!$F$2:$F$324,MATCH(A122,Main!$D$2:$D$324,1)+1)</f>
        <v>0.71008899718241525</v>
      </c>
      <c r="E122" s="11"/>
      <c r="F122" s="10"/>
      <c r="G122" s="10"/>
      <c r="H122" s="10"/>
    </row>
    <row r="123" spans="1:8" x14ac:dyDescent="0.25">
      <c r="A123" s="2">
        <v>47639</v>
      </c>
      <c r="B123" s="130">
        <v>0.72682794580057597</v>
      </c>
      <c r="C123" s="130">
        <f>INDEX(Main!$F$2:$F$324,MATCH(A123,Main!$D$2:$D$324,1)+1)</f>
        <v>0.71008899718241525</v>
      </c>
      <c r="E123" s="11"/>
      <c r="F123" s="10"/>
      <c r="G123" s="10"/>
      <c r="H123" s="10"/>
    </row>
    <row r="124" spans="1:8" x14ac:dyDescent="0.25">
      <c r="A124" s="2">
        <v>47669</v>
      </c>
      <c r="B124" s="130">
        <v>0.72682794580057597</v>
      </c>
      <c r="C124" s="130">
        <f>INDEX(Main!$F$2:$F$324,MATCH(A124,Main!$D$2:$D$324,1)+1)</f>
        <v>0.71008899718241525</v>
      </c>
      <c r="E124" s="11"/>
      <c r="F124" s="10"/>
      <c r="G124" s="10"/>
      <c r="H124" s="10"/>
    </row>
    <row r="125" spans="1:8" x14ac:dyDescent="0.25">
      <c r="A125" s="2">
        <v>47699</v>
      </c>
      <c r="B125" s="130">
        <v>0.72682794580083399</v>
      </c>
      <c r="C125" s="130">
        <f>INDEX(Main!$F$2:$F$324,MATCH(A125,Main!$D$2:$D$324,1)+1)</f>
        <v>0.71008899718241525</v>
      </c>
      <c r="E125" s="11"/>
      <c r="F125" s="10"/>
      <c r="G125" s="10"/>
      <c r="H125" s="10"/>
    </row>
    <row r="126" spans="1:8" x14ac:dyDescent="0.25">
      <c r="A126" s="2">
        <v>47730</v>
      </c>
      <c r="B126" s="130">
        <v>0.72682061017363997</v>
      </c>
      <c r="C126" s="130">
        <f>INDEX(Main!$F$2:$F$324,MATCH(A126,Main!$D$2:$D$324,1)+1)</f>
        <v>0.71008899718241525</v>
      </c>
      <c r="E126" s="11"/>
      <c r="F126" s="10"/>
      <c r="G126" s="10"/>
      <c r="H126" s="10"/>
    </row>
    <row r="127" spans="1:8" x14ac:dyDescent="0.25">
      <c r="A127" s="2">
        <v>47760</v>
      </c>
      <c r="B127" s="130">
        <v>0.72682794580083399</v>
      </c>
      <c r="C127" s="130">
        <f>INDEX(Main!$F$2:$F$324,MATCH(A127,Main!$D$2:$D$324,1)+1)</f>
        <v>0.71008899718241525</v>
      </c>
      <c r="E127" s="11"/>
      <c r="F127" s="10"/>
      <c r="G127" s="10"/>
      <c r="H127" s="10"/>
    </row>
    <row r="128" spans="1:8" x14ac:dyDescent="0.25">
      <c r="A128" s="2">
        <v>47791</v>
      </c>
      <c r="B128" s="130">
        <v>0.72682061017363997</v>
      </c>
      <c r="C128" s="130">
        <f>INDEX(Main!$F$2:$F$324,MATCH(A128,Main!$D$2:$D$324,1)+1)</f>
        <v>0.71008899718241525</v>
      </c>
      <c r="E128" s="11"/>
      <c r="F128" s="10"/>
      <c r="G128" s="10"/>
      <c r="H128" s="10"/>
    </row>
    <row r="129" spans="1:8" x14ac:dyDescent="0.25">
      <c r="A129" s="2">
        <v>47823</v>
      </c>
      <c r="B129" s="130">
        <v>0.72684261735042399</v>
      </c>
      <c r="C129" s="130">
        <f>INDEX(Main!$F$2:$F$324,MATCH(A129,Main!$D$2:$D$324,1)+1)</f>
        <v>0.71008899718241525</v>
      </c>
      <c r="E129" s="11"/>
      <c r="F129" s="10"/>
      <c r="G129" s="10"/>
      <c r="H129" s="10"/>
    </row>
    <row r="130" spans="1:8" x14ac:dyDescent="0.25">
      <c r="A130" s="2">
        <v>47852</v>
      </c>
      <c r="B130" s="130">
        <v>0.72682794580083399</v>
      </c>
      <c r="C130" s="130">
        <f>INDEX(Main!$F$2:$F$324,MATCH(A130,Main!$D$2:$D$324,1)+1)</f>
        <v>0.71008899718241525</v>
      </c>
      <c r="E130" s="11"/>
      <c r="F130" s="10"/>
      <c r="G130" s="10"/>
      <c r="H130" s="10"/>
    </row>
    <row r="131" spans="1:8" x14ac:dyDescent="0.25">
      <c r="A131" s="2">
        <v>47883</v>
      </c>
      <c r="B131" s="130">
        <v>0.72680593921635295</v>
      </c>
      <c r="C131" s="130">
        <f>INDEX(Main!$F$2:$F$324,MATCH(A131,Main!$D$2:$D$324,1)+1)</f>
        <v>0.71008899718241525</v>
      </c>
      <c r="E131" s="11"/>
      <c r="F131" s="10"/>
      <c r="G131" s="10"/>
      <c r="H131" s="10"/>
    </row>
    <row r="132" spans="1:8" x14ac:dyDescent="0.25">
      <c r="A132" s="2">
        <v>47911</v>
      </c>
      <c r="B132" s="130">
        <v>0.72682794580057597</v>
      </c>
      <c r="C132" s="130">
        <f>INDEX(Main!$F$2:$F$324,MATCH(A132,Main!$D$2:$D$324,1)+1)</f>
        <v>0.71008899718241525</v>
      </c>
      <c r="E132" s="11"/>
      <c r="F132" s="10"/>
      <c r="G132" s="10"/>
      <c r="H132" s="10"/>
    </row>
    <row r="133" spans="1:8" x14ac:dyDescent="0.25">
      <c r="A133" s="2">
        <v>47943</v>
      </c>
      <c r="B133" s="130">
        <v>0.72682794580083399</v>
      </c>
      <c r="C133" s="130">
        <f>INDEX(Main!$F$2:$F$324,MATCH(A133,Main!$D$2:$D$324,1)+1)</f>
        <v>0.71008899718241525</v>
      </c>
      <c r="E133" s="11"/>
      <c r="F133" s="10"/>
      <c r="G133" s="10"/>
      <c r="H133" s="10"/>
    </row>
    <row r="134" spans="1:8" x14ac:dyDescent="0.25">
      <c r="A134" s="2">
        <v>47972</v>
      </c>
      <c r="B134" s="130">
        <v>0.72682794580057597</v>
      </c>
      <c r="C134" s="130">
        <f>INDEX(Main!$F$2:$F$324,MATCH(A134,Main!$D$2:$D$324,1)+1)</f>
        <v>0.71008899718241525</v>
      </c>
      <c r="E134" s="11"/>
      <c r="F134" s="10"/>
      <c r="G134" s="10"/>
      <c r="H134" s="10"/>
    </row>
    <row r="135" spans="1:8" x14ac:dyDescent="0.25">
      <c r="A135" s="2">
        <v>48006</v>
      </c>
      <c r="B135" s="130">
        <v>0.72684261735042399</v>
      </c>
      <c r="C135" s="130">
        <f>INDEX(Main!$F$2:$F$324,MATCH(A135,Main!$D$2:$D$324,1)+1)</f>
        <v>0.71008899718241525</v>
      </c>
      <c r="E135" s="11"/>
      <c r="F135" s="10"/>
      <c r="G135" s="10"/>
      <c r="H135" s="10"/>
    </row>
    <row r="136" spans="1:8" x14ac:dyDescent="0.25">
      <c r="A136" s="2">
        <v>48033</v>
      </c>
      <c r="B136" s="130">
        <v>0.72682794580031795</v>
      </c>
      <c r="C136" s="130">
        <f>INDEX(Main!$F$2:$F$324,MATCH(A136,Main!$D$2:$D$324,1)+1)</f>
        <v>0.71008899718241525</v>
      </c>
      <c r="E136" s="11"/>
      <c r="F136" s="10"/>
      <c r="G136" s="10"/>
      <c r="H136" s="10"/>
    </row>
    <row r="137" spans="1:8" x14ac:dyDescent="0.25">
      <c r="A137" s="2">
        <v>48064</v>
      </c>
      <c r="B137" s="130">
        <v>0.72682794580057597</v>
      </c>
      <c r="C137" s="130">
        <f>INDEX(Main!$F$2:$F$324,MATCH(A137,Main!$D$2:$D$324,1)+1)</f>
        <v>0.71008899718241525</v>
      </c>
      <c r="E137" s="11"/>
      <c r="F137" s="10"/>
      <c r="G137" s="10"/>
      <c r="H137" s="10"/>
    </row>
    <row r="138" spans="1:8" x14ac:dyDescent="0.25">
      <c r="A138" s="2">
        <v>48097</v>
      </c>
      <c r="B138" s="130">
        <v>0.72683528152600596</v>
      </c>
      <c r="C138" s="130">
        <f>INDEX(Main!$F$2:$F$324,MATCH(A138,Main!$D$2:$D$324,1)+1)</f>
        <v>0.71008899718241525</v>
      </c>
      <c r="E138" s="11"/>
      <c r="F138" s="10"/>
      <c r="G138" s="10"/>
      <c r="H138" s="10"/>
    </row>
    <row r="139" spans="1:8" x14ac:dyDescent="0.25">
      <c r="A139" s="2">
        <v>48125</v>
      </c>
      <c r="B139" s="130">
        <v>0.72682794580083399</v>
      </c>
      <c r="C139" s="130">
        <f>INDEX(Main!$F$2:$F$324,MATCH(A139,Main!$D$2:$D$324,1)+1)</f>
        <v>0.71008899718241525</v>
      </c>
      <c r="E139" s="11"/>
      <c r="F139" s="10"/>
      <c r="G139" s="10"/>
      <c r="H139" s="10"/>
    </row>
    <row r="140" spans="1:8" x14ac:dyDescent="0.25">
      <c r="A140" s="2">
        <v>48156</v>
      </c>
      <c r="B140" s="130">
        <v>0.72682061017363997</v>
      </c>
      <c r="C140" s="130">
        <f>INDEX(Main!$F$2:$F$324,MATCH(A140,Main!$D$2:$D$324,1)+1)</f>
        <v>0.71008899718241525</v>
      </c>
      <c r="E140" s="11"/>
      <c r="F140" s="10"/>
      <c r="G140" s="10"/>
      <c r="H140" s="10"/>
    </row>
    <row r="141" spans="1:8" x14ac:dyDescent="0.25">
      <c r="A141" s="2">
        <v>48187</v>
      </c>
      <c r="B141" s="130">
        <v>0.72683528152625598</v>
      </c>
      <c r="C141" s="130">
        <f>INDEX(Main!$F$2:$F$324,MATCH(A141,Main!$D$2:$D$324,1)+1)</f>
        <v>0.71008899718241525</v>
      </c>
      <c r="E141" s="11"/>
      <c r="F141" s="10"/>
      <c r="G141" s="10"/>
      <c r="H141" s="10"/>
    </row>
    <row r="142" spans="1:8" x14ac:dyDescent="0.25">
      <c r="A142" s="2">
        <v>48217</v>
      </c>
      <c r="B142" s="130">
        <v>0.72682794580083399</v>
      </c>
      <c r="C142" s="130">
        <f>INDEX(Main!$F$2:$F$324,MATCH(A142,Main!$D$2:$D$324,1)+1)</f>
        <v>0.71008899718241525</v>
      </c>
      <c r="E142" s="11"/>
      <c r="F142" s="10"/>
      <c r="G142" s="10"/>
      <c r="H142" s="10"/>
    </row>
    <row r="143" spans="1:8" x14ac:dyDescent="0.25">
      <c r="A143" s="2">
        <v>48248</v>
      </c>
      <c r="B143" s="130">
        <v>0.72681327464546397</v>
      </c>
      <c r="C143" s="130">
        <f>INDEX(Main!$F$2:$F$324,MATCH(A143,Main!$D$2:$D$324,1)+1)</f>
        <v>0.71008899718241525</v>
      </c>
      <c r="E143" s="11"/>
      <c r="F143" s="10"/>
      <c r="G143" s="10"/>
      <c r="H143" s="10"/>
    </row>
    <row r="144" spans="1:8" x14ac:dyDescent="0.25">
      <c r="A144" s="2">
        <v>48278</v>
      </c>
      <c r="B144" s="130">
        <v>0.72683528152625598</v>
      </c>
      <c r="C144" s="130">
        <f>INDEX(Main!$F$2:$F$324,MATCH(A144,Main!$D$2:$D$324,1)+1)</f>
        <v>0.71008899718241525</v>
      </c>
      <c r="E144" s="11"/>
      <c r="F144" s="10"/>
      <c r="G144" s="10"/>
      <c r="H144" s="10"/>
    </row>
    <row r="145" spans="1:8" x14ac:dyDescent="0.25">
      <c r="A145" s="2">
        <v>48308</v>
      </c>
      <c r="B145" s="130">
        <v>0.72682061017363997</v>
      </c>
      <c r="C145" s="130">
        <f>INDEX(Main!$F$2:$F$324,MATCH(A145,Main!$D$2:$D$324,1)+1)</f>
        <v>0.71008899718241525</v>
      </c>
      <c r="E145" s="11"/>
      <c r="F145" s="10"/>
      <c r="G145" s="10"/>
      <c r="H145" s="10"/>
    </row>
    <row r="146" spans="1:8" x14ac:dyDescent="0.25">
      <c r="A146" s="2">
        <v>48338</v>
      </c>
      <c r="B146" s="130">
        <v>0.72027652123772501</v>
      </c>
      <c r="C146" s="130">
        <f>INDEX(Main!$F$2:$F$324,MATCH(A146,Main!$D$2:$D$324,1)+1)</f>
        <v>0.72638591156633214</v>
      </c>
      <c r="E146" s="11"/>
      <c r="F146" s="10"/>
      <c r="G146" s="10"/>
      <c r="H146" s="10"/>
    </row>
    <row r="147" spans="1:8" x14ac:dyDescent="0.25">
      <c r="A147" s="2">
        <v>48371</v>
      </c>
      <c r="B147" s="130">
        <v>0.71983189527133296</v>
      </c>
      <c r="C147" s="130">
        <f>INDEX(Main!$F$2:$F$324,MATCH(A147,Main!$D$2:$D$324,1)+1)</f>
        <v>0.72638591156633214</v>
      </c>
      <c r="E147" s="11"/>
      <c r="F147" s="10"/>
      <c r="G147" s="10"/>
      <c r="H147" s="10"/>
    </row>
    <row r="148" spans="1:8" x14ac:dyDescent="0.25">
      <c r="A148" s="2">
        <v>48399</v>
      </c>
      <c r="B148" s="130">
        <v>0.71982470021532297</v>
      </c>
      <c r="C148" s="130">
        <f>INDEX(Main!$F$2:$F$324,MATCH(A148,Main!$D$2:$D$324,1)+1)</f>
        <v>0.72638591156633214</v>
      </c>
      <c r="E148" s="11"/>
      <c r="F148" s="10"/>
      <c r="G148" s="10"/>
      <c r="H148" s="10"/>
    </row>
    <row r="149" spans="1:8" x14ac:dyDescent="0.25">
      <c r="A149" s="2">
        <v>48433</v>
      </c>
      <c r="B149" s="130">
        <v>0.71984628567098496</v>
      </c>
      <c r="C149" s="130">
        <f>INDEX(Main!$F$2:$F$324,MATCH(A149,Main!$D$2:$D$324,1)+1)</f>
        <v>0.72638591156633214</v>
      </c>
      <c r="E149" s="11"/>
      <c r="F149" s="10"/>
      <c r="G149" s="10"/>
      <c r="H149" s="10"/>
    </row>
    <row r="150" spans="1:8" x14ac:dyDescent="0.25">
      <c r="A150" s="2">
        <v>48461</v>
      </c>
      <c r="B150" s="130">
        <v>0.719817505255538</v>
      </c>
      <c r="C150" s="130">
        <f>INDEX(Main!$F$2:$F$324,MATCH(A150,Main!$D$2:$D$324,1)+1)</f>
        <v>0.72638591156633214</v>
      </c>
      <c r="E150" s="11"/>
      <c r="F150" s="10"/>
      <c r="G150" s="10"/>
      <c r="H150" s="10"/>
    </row>
    <row r="151" spans="1:8" x14ac:dyDescent="0.25">
      <c r="A151" s="2">
        <v>48491</v>
      </c>
      <c r="B151" s="130">
        <v>0.71982470021558098</v>
      </c>
      <c r="C151" s="130">
        <f>INDEX(Main!$F$2:$F$324,MATCH(A151,Main!$D$2:$D$324,1)+1)</f>
        <v>0.72638591156633214</v>
      </c>
      <c r="E151" s="11"/>
      <c r="F151" s="10"/>
      <c r="G151" s="10"/>
      <c r="H151" s="10"/>
    </row>
    <row r="152" spans="1:8" x14ac:dyDescent="0.25">
      <c r="A152" s="2">
        <v>48524</v>
      </c>
      <c r="B152" s="130">
        <v>0.71983189527158298</v>
      </c>
      <c r="C152" s="130">
        <f>INDEX(Main!$F$2:$F$324,MATCH(A152,Main!$D$2:$D$324,1)+1)</f>
        <v>0.72638591156633214</v>
      </c>
      <c r="E152" s="11"/>
      <c r="F152" s="10"/>
      <c r="G152" s="10"/>
      <c r="H152" s="10"/>
    </row>
    <row r="153" spans="1:8" x14ac:dyDescent="0.25">
      <c r="A153" s="2">
        <v>48552</v>
      </c>
      <c r="B153" s="130">
        <v>0.719824700215838</v>
      </c>
      <c r="C153" s="130">
        <f>INDEX(Main!$F$2:$F$324,MATCH(A153,Main!$D$2:$D$324,1)+1)</f>
        <v>0.72638591156633214</v>
      </c>
      <c r="E153" s="11"/>
      <c r="F153" s="10"/>
      <c r="G153" s="10"/>
      <c r="H153" s="10"/>
    </row>
    <row r="154" spans="1:8" x14ac:dyDescent="0.25">
      <c r="A154" s="2">
        <v>48583</v>
      </c>
      <c r="B154" s="130">
        <v>0.71982470021558098</v>
      </c>
      <c r="C154" s="130">
        <f>INDEX(Main!$F$2:$F$324,MATCH(A154,Main!$D$2:$D$324,1)+1)</f>
        <v>0.72638591156633214</v>
      </c>
      <c r="E154" s="11"/>
      <c r="F154" s="10"/>
      <c r="G154" s="10"/>
      <c r="H154" s="10"/>
    </row>
    <row r="155" spans="1:8" x14ac:dyDescent="0.25">
      <c r="A155" s="2">
        <v>48614</v>
      </c>
      <c r="B155" s="130">
        <v>0.71980311562306198</v>
      </c>
      <c r="C155" s="130">
        <f>INDEX(Main!$F$2:$F$324,MATCH(A155,Main!$D$2:$D$324,1)+1)</f>
        <v>0.72638591156633214</v>
      </c>
      <c r="E155" s="11"/>
      <c r="F155" s="10"/>
      <c r="G155" s="10"/>
      <c r="H155" s="10"/>
    </row>
    <row r="156" spans="1:8" x14ac:dyDescent="0.25">
      <c r="A156" s="2">
        <v>48642</v>
      </c>
      <c r="B156" s="130">
        <v>0.71982470021558098</v>
      </c>
      <c r="C156" s="130">
        <f>INDEX(Main!$F$2:$F$324,MATCH(A156,Main!$D$2:$D$324,1)+1)</f>
        <v>0.72638591156633214</v>
      </c>
      <c r="E156" s="11"/>
      <c r="F156" s="10"/>
      <c r="G156" s="10"/>
      <c r="H156" s="10"/>
    </row>
    <row r="157" spans="1:8" x14ac:dyDescent="0.25">
      <c r="A157" s="2">
        <v>48673</v>
      </c>
      <c r="B157" s="130">
        <v>0.71981750525580401</v>
      </c>
      <c r="C157" s="130">
        <f>INDEX(Main!$F$2:$F$324,MATCH(A157,Main!$D$2:$D$324,1)+1)</f>
        <v>0.72638591156633214</v>
      </c>
      <c r="E157" s="11"/>
      <c r="F157" s="10"/>
      <c r="G157" s="10"/>
      <c r="H157" s="10"/>
    </row>
    <row r="158" spans="1:8" x14ac:dyDescent="0.25">
      <c r="A158" s="2">
        <v>48705</v>
      </c>
      <c r="B158" s="130">
        <v>0.71983909042329997</v>
      </c>
      <c r="C158" s="130">
        <f>INDEX(Main!$F$2:$F$324,MATCH(A158,Main!$D$2:$D$324,1)+1)</f>
        <v>0.72638591156633214</v>
      </c>
      <c r="E158" s="11"/>
      <c r="F158" s="10"/>
      <c r="G158" s="10"/>
      <c r="H158" s="10"/>
    </row>
    <row r="159" spans="1:8" x14ac:dyDescent="0.25">
      <c r="A159" s="2">
        <v>48735</v>
      </c>
      <c r="B159" s="130">
        <v>0.719817505255538</v>
      </c>
      <c r="C159" s="130">
        <f>INDEX(Main!$F$2:$F$324,MATCH(A159,Main!$D$2:$D$324,1)+1)</f>
        <v>0.72638591156633214</v>
      </c>
      <c r="E159" s="11"/>
      <c r="F159" s="10"/>
      <c r="G159" s="10"/>
      <c r="H159" s="10"/>
    </row>
    <row r="160" spans="1:8" x14ac:dyDescent="0.25">
      <c r="A160" s="2">
        <v>48764</v>
      </c>
      <c r="B160" s="130">
        <v>0.71982470021558098</v>
      </c>
      <c r="C160" s="130">
        <f>INDEX(Main!$F$2:$F$324,MATCH(A160,Main!$D$2:$D$324,1)+1)</f>
        <v>0.72638591156633214</v>
      </c>
      <c r="E160" s="11"/>
      <c r="F160" s="10"/>
      <c r="G160" s="10"/>
      <c r="H160" s="10"/>
    </row>
    <row r="161" spans="1:8" x14ac:dyDescent="0.25">
      <c r="A161" s="2">
        <v>48797</v>
      </c>
      <c r="B161" s="130">
        <v>0.71983909042329997</v>
      </c>
      <c r="C161" s="130">
        <f>INDEX(Main!$F$2:$F$324,MATCH(A161,Main!$D$2:$D$324,1)+1)</f>
        <v>0.72638591156633214</v>
      </c>
      <c r="E161" s="11"/>
      <c r="F161" s="10"/>
      <c r="G161" s="10"/>
      <c r="H161" s="10"/>
    </row>
    <row r="162" spans="1:8" x14ac:dyDescent="0.25">
      <c r="A162" s="2">
        <v>48826</v>
      </c>
      <c r="B162" s="130">
        <v>0.719817505255538</v>
      </c>
      <c r="C162" s="130">
        <f>INDEX(Main!$F$2:$F$324,MATCH(A162,Main!$D$2:$D$324,1)+1)</f>
        <v>0.72638591156633214</v>
      </c>
      <c r="E162" s="11"/>
      <c r="F162" s="10"/>
      <c r="G162" s="10"/>
      <c r="H162" s="10"/>
    </row>
    <row r="163" spans="1:8" x14ac:dyDescent="0.25">
      <c r="A163" s="2">
        <v>48856</v>
      </c>
      <c r="B163" s="130">
        <v>0.71982470021558098</v>
      </c>
      <c r="C163" s="130">
        <f>INDEX(Main!$F$2:$F$324,MATCH(A163,Main!$D$2:$D$324,1)+1)</f>
        <v>0.72638591156633214</v>
      </c>
      <c r="E163" s="11"/>
      <c r="F163" s="10"/>
      <c r="G163" s="10"/>
      <c r="H163" s="10"/>
    </row>
    <row r="164" spans="1:8" x14ac:dyDescent="0.25">
      <c r="A164" s="2">
        <v>48888</v>
      </c>
      <c r="B164" s="130">
        <v>0.71982470021558098</v>
      </c>
      <c r="C164" s="130">
        <f>INDEX(Main!$F$2:$F$324,MATCH(A164,Main!$D$2:$D$324,1)+1)</f>
        <v>0.72638591156633214</v>
      </c>
      <c r="E164" s="11"/>
      <c r="F164" s="10"/>
      <c r="G164" s="10"/>
      <c r="H164" s="10"/>
    </row>
    <row r="165" spans="1:8" x14ac:dyDescent="0.25">
      <c r="A165" s="2">
        <v>48917</v>
      </c>
      <c r="B165" s="130">
        <v>0.71982470021532297</v>
      </c>
      <c r="C165" s="130">
        <f>INDEX(Main!$F$2:$F$324,MATCH(A165,Main!$D$2:$D$324,1)+1)</f>
        <v>0.72638591156633214</v>
      </c>
      <c r="E165" s="11"/>
      <c r="F165" s="10"/>
      <c r="G165" s="10"/>
      <c r="H165" s="10"/>
    </row>
    <row r="166" spans="1:8" x14ac:dyDescent="0.25">
      <c r="A166" s="2">
        <v>48950</v>
      </c>
      <c r="B166" s="130">
        <v>0.71983909042305805</v>
      </c>
      <c r="C166" s="130">
        <f>INDEX(Main!$F$2:$F$324,MATCH(A166,Main!$D$2:$D$324,1)+1)</f>
        <v>0.72638591156633214</v>
      </c>
      <c r="E166" s="11"/>
      <c r="F166" s="10"/>
      <c r="G166" s="10"/>
      <c r="H166" s="10"/>
    </row>
    <row r="167" spans="1:8" x14ac:dyDescent="0.25">
      <c r="A167" s="2">
        <v>48981</v>
      </c>
      <c r="B167" s="130">
        <v>0.71980311562334698</v>
      </c>
      <c r="C167" s="130">
        <f>INDEX(Main!$F$2:$F$324,MATCH(A167,Main!$D$2:$D$324,1)+1)</f>
        <v>0.72638591156633214</v>
      </c>
      <c r="E167" s="11"/>
      <c r="F167" s="10"/>
      <c r="G167" s="10"/>
      <c r="H167" s="10"/>
    </row>
    <row r="168" spans="1:8" x14ac:dyDescent="0.25">
      <c r="A168" s="2">
        <v>49007</v>
      </c>
      <c r="B168" s="130">
        <v>0.71982470021558098</v>
      </c>
      <c r="C168" s="130">
        <f>INDEX(Main!$F$2:$F$324,MATCH(A168,Main!$D$2:$D$324,1)+1)</f>
        <v>0.72638591156633214</v>
      </c>
      <c r="E168" s="11"/>
      <c r="F168" s="10"/>
      <c r="G168" s="10"/>
      <c r="H168" s="10"/>
    </row>
    <row r="169" spans="1:8" x14ac:dyDescent="0.25">
      <c r="A169" s="2">
        <v>49038</v>
      </c>
      <c r="B169" s="130">
        <v>0.719817505255538</v>
      </c>
      <c r="C169" s="130">
        <f>INDEX(Main!$F$2:$F$324,MATCH(A169,Main!$D$2:$D$324,1)+1)</f>
        <v>0.72638591156633214</v>
      </c>
      <c r="E169" s="11"/>
      <c r="F169" s="10"/>
      <c r="G169" s="10"/>
      <c r="H169" s="10"/>
    </row>
    <row r="170" spans="1:8" x14ac:dyDescent="0.25">
      <c r="A170" s="2">
        <v>49069</v>
      </c>
      <c r="B170" s="130">
        <v>0.71983189527158298</v>
      </c>
      <c r="C170" s="130">
        <f>INDEX(Main!$F$2:$F$324,MATCH(A170,Main!$D$2:$D$324,1)+1)</f>
        <v>0.72638591156633214</v>
      </c>
      <c r="E170" s="11"/>
      <c r="F170" s="10"/>
      <c r="G170" s="10"/>
      <c r="H170" s="10"/>
    </row>
    <row r="171" spans="1:8" x14ac:dyDescent="0.25">
      <c r="A171" s="2">
        <v>49100</v>
      </c>
      <c r="B171" s="130">
        <v>0.719817505255271</v>
      </c>
      <c r="C171" s="130">
        <f>INDEX(Main!$F$2:$F$324,MATCH(A171,Main!$D$2:$D$324,1)+1)</f>
        <v>0.72638591156633214</v>
      </c>
      <c r="E171" s="11"/>
      <c r="F171" s="10"/>
      <c r="G171" s="10"/>
      <c r="H171" s="10"/>
    </row>
    <row r="172" spans="1:8" x14ac:dyDescent="0.25">
      <c r="A172" s="2">
        <v>49129</v>
      </c>
      <c r="B172" s="130">
        <v>0.71983909042329997</v>
      </c>
      <c r="C172" s="130">
        <f>INDEX(Main!$F$2:$F$324,MATCH(A172,Main!$D$2:$D$324,1)+1)</f>
        <v>0.72638591156633214</v>
      </c>
      <c r="E172" s="11"/>
      <c r="F172" s="10"/>
      <c r="G172" s="10"/>
      <c r="H172" s="10"/>
    </row>
    <row r="173" spans="1:8" x14ac:dyDescent="0.25">
      <c r="A173" s="2">
        <v>49161</v>
      </c>
      <c r="B173" s="130">
        <v>0.71983189527158298</v>
      </c>
      <c r="C173" s="130">
        <f>INDEX(Main!$F$2:$F$324,MATCH(A173,Main!$D$2:$D$324,1)+1)</f>
        <v>0.72638591156633214</v>
      </c>
      <c r="E173" s="11"/>
      <c r="F173" s="10"/>
      <c r="G173" s="10"/>
      <c r="H173" s="10"/>
    </row>
    <row r="174" spans="1:8" x14ac:dyDescent="0.25">
      <c r="A174" s="2">
        <v>49191</v>
      </c>
      <c r="B174" s="130">
        <v>0.719817505255271</v>
      </c>
      <c r="C174" s="130">
        <f>INDEX(Main!$F$2:$F$324,MATCH(A174,Main!$D$2:$D$324,1)+1)</f>
        <v>0.72638591156633214</v>
      </c>
      <c r="E174" s="11"/>
      <c r="F174" s="10"/>
      <c r="G174" s="10"/>
      <c r="H174" s="10"/>
    </row>
    <row r="175" spans="1:8" x14ac:dyDescent="0.25">
      <c r="A175" s="2">
        <v>49223</v>
      </c>
      <c r="B175" s="130">
        <v>0.71983909042329997</v>
      </c>
      <c r="C175" s="130">
        <f>INDEX(Main!$F$2:$F$324,MATCH(A175,Main!$D$2:$D$324,1)+1)</f>
        <v>0.72638591156633214</v>
      </c>
      <c r="E175" s="11"/>
      <c r="F175" s="10"/>
      <c r="G175" s="10"/>
      <c r="H175" s="10"/>
    </row>
    <row r="176" spans="1:8" x14ac:dyDescent="0.25">
      <c r="A176" s="2">
        <v>49252</v>
      </c>
      <c r="B176" s="130">
        <v>0.719817505255271</v>
      </c>
      <c r="C176" s="130">
        <f>INDEX(Main!$F$2:$F$324,MATCH(A176,Main!$D$2:$D$324,1)+1)</f>
        <v>0.72638591156633214</v>
      </c>
      <c r="E176" s="11"/>
      <c r="F176" s="10"/>
      <c r="G176" s="10"/>
      <c r="H176" s="10"/>
    </row>
    <row r="177" spans="1:8" x14ac:dyDescent="0.25">
      <c r="A177" s="2">
        <v>49282</v>
      </c>
      <c r="B177" s="130">
        <v>0.71982470021532297</v>
      </c>
      <c r="C177" s="130">
        <f>INDEX(Main!$F$2:$F$324,MATCH(A177,Main!$D$2:$D$324,1)+1)</f>
        <v>0.72638591156633214</v>
      </c>
      <c r="E177" s="11"/>
      <c r="F177" s="10"/>
      <c r="G177" s="10"/>
      <c r="H177" s="10"/>
    </row>
    <row r="178" spans="1:8" x14ac:dyDescent="0.25">
      <c r="A178" s="2">
        <v>49314</v>
      </c>
      <c r="B178" s="130">
        <v>0.71983189527158298</v>
      </c>
      <c r="C178" s="130">
        <f>INDEX(Main!$F$2:$F$324,MATCH(A178,Main!$D$2:$D$324,1)+1)</f>
        <v>0.72638591156633214</v>
      </c>
      <c r="E178" s="11"/>
      <c r="F178" s="10"/>
      <c r="G178" s="10"/>
      <c r="H178" s="10"/>
    </row>
    <row r="179" spans="1:8" x14ac:dyDescent="0.25">
      <c r="A179" s="2">
        <v>49345</v>
      </c>
      <c r="B179" s="130">
        <v>0.71980311562306198</v>
      </c>
      <c r="C179" s="130">
        <f>INDEX(Main!$F$2:$F$324,MATCH(A179,Main!$D$2:$D$324,1)+1)</f>
        <v>0.72638591156633214</v>
      </c>
      <c r="E179" s="11"/>
      <c r="F179" s="10"/>
      <c r="G179" s="10"/>
      <c r="H179" s="10"/>
    </row>
    <row r="180" spans="1:8" x14ac:dyDescent="0.25">
      <c r="A180" s="2">
        <v>49372</v>
      </c>
      <c r="B180" s="130">
        <v>0.71982470021558098</v>
      </c>
      <c r="C180" s="130">
        <f>INDEX(Main!$F$2:$F$324,MATCH(A180,Main!$D$2:$D$324,1)+1)</f>
        <v>0.72638591156633214</v>
      </c>
      <c r="E180" s="11"/>
      <c r="F180" s="10"/>
      <c r="G180" s="10"/>
      <c r="H180" s="10"/>
    </row>
    <row r="181" spans="1:8" x14ac:dyDescent="0.25">
      <c r="A181" s="2">
        <v>49403</v>
      </c>
      <c r="B181" s="130">
        <v>0.719817505255271</v>
      </c>
      <c r="C181" s="130">
        <f>INDEX(Main!$F$2:$F$324,MATCH(A181,Main!$D$2:$D$324,1)+1)</f>
        <v>0.72638591156633214</v>
      </c>
      <c r="E181" s="11"/>
      <c r="F181" s="10"/>
      <c r="G181" s="10"/>
      <c r="H181" s="10"/>
    </row>
    <row r="182" spans="1:8" x14ac:dyDescent="0.25">
      <c r="A182" s="2">
        <v>49433</v>
      </c>
      <c r="B182" s="130">
        <v>0.71013781736179105</v>
      </c>
      <c r="C182" s="130">
        <f>INDEX(Main!$F$2:$F$324,MATCH(A182,Main!$D$2:$D$324,1)+1)</f>
        <v>0.69356694672885844</v>
      </c>
      <c r="E182" s="11"/>
      <c r="F182" s="10"/>
      <c r="G182" s="10"/>
      <c r="H182" s="10"/>
    </row>
    <row r="183" spans="1:8" x14ac:dyDescent="0.25">
      <c r="A183" s="2">
        <v>49465</v>
      </c>
      <c r="B183" s="130">
        <v>0.70870273047349897</v>
      </c>
      <c r="C183" s="130">
        <f>INDEX(Main!$F$2:$F$324,MATCH(A183,Main!$D$2:$D$324,1)+1)</f>
        <v>0.69356694672885844</v>
      </c>
      <c r="E183" s="11"/>
      <c r="F183" s="10"/>
      <c r="G183" s="10"/>
      <c r="H183" s="10"/>
    </row>
    <row r="184" spans="1:8" x14ac:dyDescent="0.25">
      <c r="A184" s="2">
        <v>49496</v>
      </c>
      <c r="B184" s="130">
        <v>0.708709704927868</v>
      </c>
      <c r="C184" s="130">
        <f>INDEX(Main!$F$2:$F$324,MATCH(A184,Main!$D$2:$D$324,1)+1)</f>
        <v>0.69356694672885844</v>
      </c>
      <c r="E184" s="11"/>
      <c r="F184" s="10"/>
      <c r="G184" s="10"/>
      <c r="H184" s="10"/>
    </row>
    <row r="185" spans="1:8" x14ac:dyDescent="0.25">
      <c r="A185" s="2">
        <v>49525</v>
      </c>
      <c r="B185" s="130">
        <v>0.70870273047349897</v>
      </c>
      <c r="C185" s="130">
        <f>INDEX(Main!$F$2:$F$324,MATCH(A185,Main!$D$2:$D$324,1)+1)</f>
        <v>0.69356694672885844</v>
      </c>
      <c r="E185" s="11"/>
      <c r="F185" s="10"/>
      <c r="G185" s="10"/>
      <c r="H185" s="10"/>
    </row>
    <row r="186" spans="1:8" x14ac:dyDescent="0.25">
      <c r="A186" s="2">
        <v>49556</v>
      </c>
      <c r="B186" s="130">
        <v>0.70869575611070001</v>
      </c>
      <c r="C186" s="130">
        <f>INDEX(Main!$F$2:$F$324,MATCH(A186,Main!$D$2:$D$324,1)+1)</f>
        <v>0.69356694672885844</v>
      </c>
      <c r="E186" s="11"/>
      <c r="F186" s="10"/>
      <c r="G186" s="10"/>
      <c r="H186" s="10"/>
    </row>
    <row r="187" spans="1:8" x14ac:dyDescent="0.25">
      <c r="A187" s="2">
        <v>49587</v>
      </c>
      <c r="B187" s="130">
        <v>0.708709704927868</v>
      </c>
      <c r="C187" s="130">
        <f>INDEX(Main!$F$2:$F$324,MATCH(A187,Main!$D$2:$D$324,1)+1)</f>
        <v>0.69356694672885844</v>
      </c>
      <c r="E187" s="11"/>
      <c r="F187" s="10"/>
      <c r="G187" s="10"/>
      <c r="H187" s="10"/>
    </row>
    <row r="188" spans="1:8" x14ac:dyDescent="0.25">
      <c r="A188" s="2">
        <v>49617</v>
      </c>
      <c r="B188" s="130">
        <v>0.70869575611043401</v>
      </c>
      <c r="C188" s="130">
        <f>INDEX(Main!$F$2:$F$324,MATCH(A188,Main!$D$2:$D$324,1)+1)</f>
        <v>0.69356694672885844</v>
      </c>
      <c r="E188" s="11"/>
      <c r="F188" s="10"/>
      <c r="G188" s="10"/>
      <c r="H188" s="10"/>
    </row>
    <row r="189" spans="1:8" x14ac:dyDescent="0.25">
      <c r="A189" s="2">
        <v>49647</v>
      </c>
      <c r="B189" s="130">
        <v>0.70870273047349897</v>
      </c>
      <c r="C189" s="130">
        <f>INDEX(Main!$F$2:$F$324,MATCH(A189,Main!$D$2:$D$324,1)+1)</f>
        <v>0.69356694672885844</v>
      </c>
      <c r="E189" s="11"/>
      <c r="F189" s="10"/>
      <c r="G189" s="10"/>
      <c r="H189" s="10"/>
    </row>
    <row r="190" spans="1:8" x14ac:dyDescent="0.25">
      <c r="A190" s="2">
        <v>49678</v>
      </c>
      <c r="B190" s="130">
        <v>0.70870273047349897</v>
      </c>
      <c r="C190" s="130">
        <f>INDEX(Main!$F$2:$F$324,MATCH(A190,Main!$D$2:$D$324,1)+1)</f>
        <v>0.69356694672885844</v>
      </c>
      <c r="E190" s="11"/>
      <c r="F190" s="10"/>
      <c r="G190" s="10"/>
      <c r="H190" s="10"/>
    </row>
    <row r="191" spans="1:8" x14ac:dyDescent="0.25">
      <c r="A191" s="2">
        <v>49709</v>
      </c>
      <c r="B191" s="130">
        <v>0.70868878183929596</v>
      </c>
      <c r="C191" s="130">
        <f>INDEX(Main!$F$2:$F$324,MATCH(A191,Main!$D$2:$D$324,1)+1)</f>
        <v>0.69356694672885844</v>
      </c>
      <c r="E191" s="11"/>
      <c r="F191" s="10"/>
      <c r="G191" s="10"/>
      <c r="H191" s="10"/>
    </row>
    <row r="192" spans="1:8" x14ac:dyDescent="0.25">
      <c r="A192" s="2">
        <v>49738</v>
      </c>
      <c r="B192" s="130">
        <v>0.70870273047349897</v>
      </c>
      <c r="C192" s="130">
        <f>INDEX(Main!$F$2:$F$324,MATCH(A192,Main!$D$2:$D$324,1)+1)</f>
        <v>0.69356694672885844</v>
      </c>
      <c r="E192" s="11"/>
      <c r="F192" s="10"/>
      <c r="G192" s="10"/>
      <c r="H192" s="10"/>
    </row>
    <row r="193" spans="1:8" x14ac:dyDescent="0.25">
      <c r="A193" s="2">
        <v>49770</v>
      </c>
      <c r="B193" s="130">
        <v>0.70870273047349897</v>
      </c>
      <c r="C193" s="130">
        <f>INDEX(Main!$F$2:$F$324,MATCH(A193,Main!$D$2:$D$324,1)+1)</f>
        <v>0.69356694672885844</v>
      </c>
      <c r="E193" s="11"/>
      <c r="F193" s="10"/>
      <c r="G193" s="10"/>
      <c r="H193" s="10"/>
    </row>
    <row r="194" spans="1:8" x14ac:dyDescent="0.25">
      <c r="A194" s="2">
        <v>49799</v>
      </c>
      <c r="B194" s="130">
        <v>0.70870273047375698</v>
      </c>
      <c r="C194" s="130">
        <f>INDEX(Main!$F$2:$F$324,MATCH(A194,Main!$D$2:$D$324,1)+1)</f>
        <v>0.69356694672885844</v>
      </c>
      <c r="E194" s="11"/>
      <c r="F194" s="10"/>
      <c r="G194" s="10"/>
      <c r="H194" s="10"/>
    </row>
    <row r="195" spans="1:8" x14ac:dyDescent="0.25">
      <c r="A195" s="2">
        <v>49833</v>
      </c>
      <c r="B195" s="130">
        <v>0.70871667947371797</v>
      </c>
      <c r="C195" s="130">
        <f>INDEX(Main!$F$2:$F$324,MATCH(A195,Main!$D$2:$D$324,1)+1)</f>
        <v>0.69356694672885844</v>
      </c>
      <c r="E195" s="11"/>
      <c r="F195" s="10"/>
      <c r="G195" s="10"/>
      <c r="H195" s="10"/>
    </row>
    <row r="196" spans="1:8" x14ac:dyDescent="0.25">
      <c r="A196" s="2">
        <v>49860</v>
      </c>
      <c r="B196" s="130">
        <v>0.70870273047349897</v>
      </c>
      <c r="C196" s="130">
        <f>INDEX(Main!$F$2:$F$324,MATCH(A196,Main!$D$2:$D$324,1)+1)</f>
        <v>0.69356694672885844</v>
      </c>
      <c r="E196" s="11"/>
      <c r="F196" s="10"/>
      <c r="G196" s="10"/>
      <c r="H196" s="10"/>
    </row>
    <row r="197" spans="1:8" x14ac:dyDescent="0.25">
      <c r="A197" s="2">
        <v>49891</v>
      </c>
      <c r="B197" s="130">
        <v>0.70870273047349897</v>
      </c>
      <c r="C197" s="130">
        <f>INDEX(Main!$F$2:$F$324,MATCH(A197,Main!$D$2:$D$324,1)+1)</f>
        <v>0.69356694672885844</v>
      </c>
      <c r="E197" s="11"/>
      <c r="F197" s="10"/>
      <c r="G197" s="10"/>
      <c r="H197" s="10"/>
    </row>
    <row r="198" spans="1:8" x14ac:dyDescent="0.25">
      <c r="A198" s="2">
        <v>49924</v>
      </c>
      <c r="B198" s="130">
        <v>0.70870970492761798</v>
      </c>
      <c r="C198" s="130">
        <f>INDEX(Main!$F$2:$F$324,MATCH(A198,Main!$D$2:$D$324,1)+1)</f>
        <v>0.69356694672885844</v>
      </c>
      <c r="E198" s="11"/>
      <c r="F198" s="10"/>
      <c r="G198" s="10"/>
      <c r="H198" s="10"/>
    </row>
    <row r="199" spans="1:8" x14ac:dyDescent="0.25">
      <c r="A199" s="2">
        <v>49952</v>
      </c>
      <c r="B199" s="130">
        <v>0.70870273047349897</v>
      </c>
      <c r="C199" s="130">
        <f>INDEX(Main!$F$2:$F$324,MATCH(A199,Main!$D$2:$D$324,1)+1)</f>
        <v>0.69356694672885844</v>
      </c>
      <c r="E199" s="11"/>
      <c r="F199" s="10"/>
      <c r="G199" s="10"/>
      <c r="H199" s="10"/>
    </row>
    <row r="200" spans="1:8" x14ac:dyDescent="0.25">
      <c r="A200" s="2">
        <v>49983</v>
      </c>
      <c r="B200" s="130">
        <v>0.70869575611043401</v>
      </c>
      <c r="C200" s="130">
        <f>INDEX(Main!$F$2:$F$324,MATCH(A200,Main!$D$2:$D$324,1)+1)</f>
        <v>0.69356694672885844</v>
      </c>
      <c r="E200" s="11"/>
      <c r="F200" s="10"/>
      <c r="G200" s="10"/>
      <c r="H200" s="10"/>
    </row>
    <row r="201" spans="1:8" x14ac:dyDescent="0.25">
      <c r="A201" s="2">
        <v>50014</v>
      </c>
      <c r="B201" s="130">
        <v>0.708709704927868</v>
      </c>
      <c r="C201" s="130">
        <f>INDEX(Main!$F$2:$F$324,MATCH(A201,Main!$D$2:$D$324,1)+1)</f>
        <v>0.69356694672885844</v>
      </c>
      <c r="E201" s="11"/>
      <c r="F201" s="10"/>
      <c r="G201" s="10"/>
      <c r="H201" s="10"/>
    </row>
    <row r="202" spans="1:8" x14ac:dyDescent="0.25">
      <c r="A202" s="2">
        <v>50044</v>
      </c>
      <c r="B202" s="130">
        <v>0.70870273047349897</v>
      </c>
      <c r="C202" s="130">
        <f>INDEX(Main!$F$2:$F$324,MATCH(A202,Main!$D$2:$D$324,1)+1)</f>
        <v>0.69356694672885844</v>
      </c>
      <c r="E202" s="11"/>
      <c r="F202" s="10"/>
      <c r="G202" s="10"/>
      <c r="H202" s="10"/>
    </row>
    <row r="203" spans="1:8" x14ac:dyDescent="0.25">
      <c r="A203" s="2">
        <v>50075</v>
      </c>
      <c r="B203" s="130">
        <v>0.70868180765965805</v>
      </c>
      <c r="C203" s="130">
        <f>INDEX(Main!$F$2:$F$324,MATCH(A203,Main!$D$2:$D$324,1)+1)</f>
        <v>0.69356694672885844</v>
      </c>
      <c r="E203" s="11"/>
      <c r="F203" s="10"/>
      <c r="G203" s="10"/>
      <c r="H203" s="10"/>
    </row>
    <row r="204" spans="1:8" x14ac:dyDescent="0.25">
      <c r="A204" s="2">
        <v>50105</v>
      </c>
      <c r="B204" s="130">
        <v>0.70871667947371797</v>
      </c>
      <c r="C204" s="130">
        <f>INDEX(Main!$F$2:$F$324,MATCH(A204,Main!$D$2:$D$324,1)+1)</f>
        <v>0.69356694672885844</v>
      </c>
      <c r="E204" s="11"/>
      <c r="F204" s="10"/>
      <c r="G204" s="10"/>
      <c r="H204" s="10"/>
    </row>
    <row r="205" spans="1:8" x14ac:dyDescent="0.25">
      <c r="A205" s="2">
        <v>50134</v>
      </c>
      <c r="B205" s="130">
        <v>0.70869575611043401</v>
      </c>
      <c r="C205" s="130">
        <f>INDEX(Main!$F$2:$F$324,MATCH(A205,Main!$D$2:$D$324,1)+1)</f>
        <v>0.69356694672885844</v>
      </c>
      <c r="E205" s="11"/>
      <c r="F205" s="10"/>
      <c r="G205" s="10"/>
      <c r="H205" s="10"/>
    </row>
    <row r="206" spans="1:8" x14ac:dyDescent="0.25">
      <c r="A206" s="2">
        <v>50164</v>
      </c>
      <c r="B206" s="130">
        <v>0.70870273047349897</v>
      </c>
      <c r="C206" s="130">
        <f>INDEX(Main!$F$2:$F$324,MATCH(A206,Main!$D$2:$D$324,1)+1)</f>
        <v>0.69356694672885844</v>
      </c>
      <c r="E206" s="11"/>
      <c r="F206" s="10"/>
      <c r="G206" s="10"/>
      <c r="H206" s="10"/>
    </row>
    <row r="207" spans="1:8" x14ac:dyDescent="0.25">
      <c r="A207" s="2">
        <v>50197</v>
      </c>
      <c r="B207" s="130">
        <v>0.708709704927868</v>
      </c>
      <c r="C207" s="130">
        <f>INDEX(Main!$F$2:$F$324,MATCH(A207,Main!$D$2:$D$324,1)+1)</f>
        <v>0.69356694672885844</v>
      </c>
      <c r="E207" s="11"/>
      <c r="F207" s="10"/>
      <c r="G207" s="10"/>
      <c r="H207" s="10"/>
    </row>
    <row r="208" spans="1:8" x14ac:dyDescent="0.25">
      <c r="A208" s="2">
        <v>50225</v>
      </c>
      <c r="B208" s="130">
        <v>0.70870273047349897</v>
      </c>
      <c r="C208" s="130">
        <f>INDEX(Main!$F$2:$F$324,MATCH(A208,Main!$D$2:$D$324,1)+1)</f>
        <v>0.69356694672885844</v>
      </c>
      <c r="E208" s="11"/>
      <c r="F208" s="10"/>
      <c r="G208" s="10"/>
      <c r="H208" s="10"/>
    </row>
    <row r="209" spans="1:8" x14ac:dyDescent="0.25">
      <c r="A209" s="2">
        <v>50256</v>
      </c>
      <c r="B209" s="130">
        <v>0.70870273047349897</v>
      </c>
      <c r="C209" s="130">
        <f>INDEX(Main!$F$2:$F$324,MATCH(A209,Main!$D$2:$D$324,1)+1)</f>
        <v>0.69356694672885844</v>
      </c>
      <c r="E209" s="11"/>
      <c r="F209" s="10"/>
      <c r="G209" s="10"/>
      <c r="H209" s="10"/>
    </row>
    <row r="210" spans="1:8" x14ac:dyDescent="0.25">
      <c r="A210" s="2">
        <v>50288</v>
      </c>
      <c r="B210" s="130">
        <v>0.70870273047349897</v>
      </c>
      <c r="C210" s="130">
        <f>INDEX(Main!$F$2:$F$324,MATCH(A210,Main!$D$2:$D$324,1)+1)</f>
        <v>0.69356694672885844</v>
      </c>
      <c r="E210" s="11"/>
      <c r="F210" s="10"/>
      <c r="G210" s="10"/>
      <c r="H210" s="10"/>
    </row>
    <row r="211" spans="1:8" x14ac:dyDescent="0.25">
      <c r="A211" s="2">
        <v>50317</v>
      </c>
      <c r="B211" s="130">
        <v>0.70870273047349897</v>
      </c>
      <c r="C211" s="130">
        <f>INDEX(Main!$F$2:$F$324,MATCH(A211,Main!$D$2:$D$324,1)+1)</f>
        <v>0.69356694672885844</v>
      </c>
      <c r="E211" s="11"/>
      <c r="F211" s="10"/>
      <c r="G211" s="10"/>
      <c r="H211" s="10"/>
    </row>
    <row r="212" spans="1:8" x14ac:dyDescent="0.25">
      <c r="A212" s="2">
        <v>50348</v>
      </c>
      <c r="B212" s="130">
        <v>0.70869575611070001</v>
      </c>
      <c r="C212" s="130">
        <f>INDEX(Main!$F$2:$F$324,MATCH(A212,Main!$D$2:$D$324,1)+1)</f>
        <v>0.69356694672885844</v>
      </c>
      <c r="E212" s="11"/>
      <c r="F212" s="10"/>
      <c r="G212" s="10"/>
      <c r="H212" s="10"/>
    </row>
    <row r="213" spans="1:8" x14ac:dyDescent="0.25">
      <c r="A213" s="2">
        <v>50378</v>
      </c>
      <c r="B213" s="130">
        <v>0.70870273047349897</v>
      </c>
      <c r="C213" s="130">
        <f>INDEX(Main!$F$2:$F$324,MATCH(A213,Main!$D$2:$D$324,1)+1)</f>
        <v>0.69356694672885844</v>
      </c>
      <c r="E213" s="11"/>
      <c r="F213" s="10"/>
      <c r="G213" s="10"/>
      <c r="H213" s="10"/>
    </row>
    <row r="214" spans="1:8" x14ac:dyDescent="0.25">
      <c r="A214" s="2">
        <v>50409</v>
      </c>
      <c r="B214" s="130">
        <v>0.70870273047349897</v>
      </c>
      <c r="C214" s="130">
        <f>INDEX(Main!$F$2:$F$324,MATCH(A214,Main!$D$2:$D$324,1)+1)</f>
        <v>0.69356694672885844</v>
      </c>
      <c r="E214" s="11"/>
      <c r="F214" s="10"/>
      <c r="G214" s="10"/>
      <c r="H214" s="10"/>
    </row>
    <row r="215" spans="1:8" x14ac:dyDescent="0.25">
      <c r="A215" s="2">
        <v>50440</v>
      </c>
      <c r="B215" s="130">
        <v>0.70868180765965805</v>
      </c>
      <c r="C215" s="130">
        <f>INDEX(Main!$F$2:$F$324,MATCH(A215,Main!$D$2:$D$324,1)+1)</f>
        <v>0.69356694672885844</v>
      </c>
      <c r="E215" s="11"/>
      <c r="F215" s="10"/>
      <c r="G215" s="10"/>
      <c r="H215" s="10"/>
    </row>
    <row r="216" spans="1:8" x14ac:dyDescent="0.25">
      <c r="A216" s="2">
        <v>50469</v>
      </c>
      <c r="B216" s="130">
        <v>0.708709704927868</v>
      </c>
      <c r="C216" s="130">
        <f>INDEX(Main!$F$2:$F$324,MATCH(A216,Main!$D$2:$D$324,1)+1)</f>
        <v>0.69356694672885844</v>
      </c>
      <c r="E216" s="11"/>
      <c r="F216" s="10"/>
      <c r="G216" s="10"/>
      <c r="H216" s="10"/>
    </row>
    <row r="217" spans="1:8" x14ac:dyDescent="0.25">
      <c r="A217" s="2">
        <v>50499</v>
      </c>
      <c r="B217" s="130">
        <v>0.70869575611043401</v>
      </c>
      <c r="C217" s="130">
        <f>INDEX(Main!$F$2:$F$324,MATCH(A217,Main!$D$2:$D$324,1)+1)</f>
        <v>0.69356694672885844</v>
      </c>
      <c r="E217" s="11"/>
      <c r="F217" s="10"/>
      <c r="G217" s="10"/>
      <c r="H217" s="10"/>
    </row>
    <row r="218" spans="1:8" x14ac:dyDescent="0.25">
      <c r="A218" s="2">
        <v>50529</v>
      </c>
      <c r="B218" s="130">
        <v>0.70870273047349897</v>
      </c>
      <c r="C218" s="130">
        <f>INDEX(Main!$F$2:$F$324,MATCH(A218,Main!$D$2:$D$324,1)+1)</f>
        <v>0.69356694672885844</v>
      </c>
      <c r="E218" s="11"/>
      <c r="F218" s="10"/>
      <c r="G218" s="10"/>
      <c r="H218" s="10"/>
    </row>
    <row r="219" spans="1:8" x14ac:dyDescent="0.25">
      <c r="A219" s="2">
        <v>50562</v>
      </c>
      <c r="B219" s="130">
        <v>0.708709704927868</v>
      </c>
      <c r="C219" s="130">
        <f>INDEX(Main!$F$2:$F$324,MATCH(A219,Main!$D$2:$D$324,1)+1)</f>
        <v>0.69356694672885844</v>
      </c>
      <c r="E219" s="11"/>
      <c r="F219" s="10"/>
      <c r="G219" s="10"/>
      <c r="H219" s="10"/>
    </row>
    <row r="220" spans="1:8" x14ac:dyDescent="0.25">
      <c r="A220" s="2">
        <v>50590</v>
      </c>
      <c r="B220" s="130">
        <v>0.70870273047349897</v>
      </c>
      <c r="C220" s="130">
        <f>INDEX(Main!$F$2:$F$324,MATCH(A220,Main!$D$2:$D$324,1)+1)</f>
        <v>0.69356694672885844</v>
      </c>
      <c r="E220" s="11"/>
      <c r="F220" s="10"/>
      <c r="G220" s="10"/>
      <c r="H220" s="10"/>
    </row>
    <row r="221" spans="1:8" x14ac:dyDescent="0.25">
      <c r="A221" s="2">
        <v>50624</v>
      </c>
      <c r="B221" s="130">
        <v>0.70872365411097105</v>
      </c>
      <c r="C221" s="130">
        <f>INDEX(Main!$F$2:$F$324,MATCH(A221,Main!$D$2:$D$324,1)+1)</f>
        <v>0.69356694672885844</v>
      </c>
      <c r="E221" s="11"/>
      <c r="F221" s="10"/>
      <c r="G221" s="10"/>
      <c r="H221" s="10"/>
    </row>
    <row r="222" spans="1:8" x14ac:dyDescent="0.25">
      <c r="A222" s="2">
        <v>50652</v>
      </c>
      <c r="B222" s="130">
        <v>0.70869575611070001</v>
      </c>
      <c r="C222" s="130">
        <f>INDEX(Main!$F$2:$F$324,MATCH(A222,Main!$D$2:$D$324,1)+1)</f>
        <v>0.69356694672885844</v>
      </c>
      <c r="E222" s="11"/>
      <c r="F222" s="10"/>
      <c r="G222" s="10"/>
      <c r="H222" s="10"/>
    </row>
    <row r="223" spans="1:8" x14ac:dyDescent="0.25">
      <c r="A223" s="2">
        <v>50682</v>
      </c>
      <c r="B223" s="130">
        <v>0.70870273047349897</v>
      </c>
      <c r="C223" s="130">
        <f>INDEX(Main!$F$2:$F$324,MATCH(A223,Main!$D$2:$D$324,1)+1)</f>
        <v>0.69356694672885844</v>
      </c>
      <c r="E223" s="11"/>
      <c r="F223" s="10"/>
      <c r="G223" s="10"/>
      <c r="H223" s="10"/>
    </row>
    <row r="224" spans="1:8" x14ac:dyDescent="0.25">
      <c r="A224" s="2">
        <v>50715</v>
      </c>
      <c r="B224" s="130">
        <v>0.70870970492811802</v>
      </c>
      <c r="C224" s="130">
        <f>INDEX(Main!$F$2:$F$324,MATCH(A224,Main!$D$2:$D$324,1)+1)</f>
        <v>0.69356694672885844</v>
      </c>
      <c r="E224" s="11"/>
      <c r="F224" s="10"/>
      <c r="G224" s="10"/>
      <c r="H224" s="10"/>
    </row>
    <row r="225" spans="1:8" x14ac:dyDescent="0.25">
      <c r="A225" s="2">
        <v>50743</v>
      </c>
      <c r="B225" s="130">
        <v>0.70870273047349897</v>
      </c>
      <c r="C225" s="130">
        <f>INDEX(Main!$F$2:$F$324,MATCH(A225,Main!$D$2:$D$324,1)+1)</f>
        <v>0.69356694672885844</v>
      </c>
      <c r="E225" s="11"/>
      <c r="F225" s="10"/>
      <c r="G225" s="10"/>
      <c r="H225" s="10"/>
    </row>
    <row r="226" spans="1:8" x14ac:dyDescent="0.25">
      <c r="A226" s="2">
        <v>50774</v>
      </c>
      <c r="B226" s="130">
        <v>0.70870273047349897</v>
      </c>
      <c r="C226" s="130">
        <f>INDEX(Main!$F$2:$F$324,MATCH(A226,Main!$D$2:$D$324,1)+1)</f>
        <v>0.69356694672885844</v>
      </c>
      <c r="E226" s="11"/>
      <c r="F226" s="10"/>
      <c r="G226" s="10"/>
      <c r="H226" s="10"/>
    </row>
    <row r="227" spans="1:8" x14ac:dyDescent="0.25">
      <c r="A227" s="2">
        <v>50805</v>
      </c>
      <c r="B227" s="130">
        <v>0.70868180765965805</v>
      </c>
      <c r="C227" s="130">
        <f>INDEX(Main!$F$2:$F$324,MATCH(A227,Main!$D$2:$D$324,1)+1)</f>
        <v>0.69356694672885844</v>
      </c>
      <c r="E227" s="11"/>
      <c r="F227" s="10"/>
      <c r="G227" s="10"/>
      <c r="H227" s="10"/>
    </row>
    <row r="228" spans="1:8" x14ac:dyDescent="0.25">
      <c r="A228" s="2">
        <v>50833</v>
      </c>
      <c r="B228" s="130">
        <v>0.70870273047349897</v>
      </c>
      <c r="C228" s="130">
        <f>INDEX(Main!$F$2:$F$324,MATCH(A228,Main!$D$2:$D$324,1)+1)</f>
        <v>0.69356694672885844</v>
      </c>
      <c r="E228" s="11"/>
      <c r="F228" s="10"/>
      <c r="G228" s="10"/>
      <c r="H228" s="10"/>
    </row>
    <row r="229" spans="1:8" x14ac:dyDescent="0.25">
      <c r="A229" s="2">
        <v>50864</v>
      </c>
      <c r="B229" s="130">
        <v>0.70869575611070001</v>
      </c>
      <c r="C229" s="130">
        <f>INDEX(Main!$F$2:$F$324,MATCH(A229,Main!$D$2:$D$324,1)+1)</f>
        <v>0.69356694672885844</v>
      </c>
      <c r="E229" s="11"/>
      <c r="F229" s="10"/>
      <c r="G229" s="10"/>
      <c r="H229" s="10"/>
    </row>
    <row r="230" spans="1:8" x14ac:dyDescent="0.25">
      <c r="A230" s="2">
        <v>50896</v>
      </c>
      <c r="B230" s="130">
        <v>0.70871667947371797</v>
      </c>
      <c r="C230" s="130">
        <f>INDEX(Main!$F$2:$F$324,MATCH(A230,Main!$D$2:$D$324,1)+1)</f>
        <v>0.69356694672885844</v>
      </c>
      <c r="E230" s="11"/>
      <c r="F230" s="10"/>
      <c r="G230" s="10"/>
      <c r="H230" s="10"/>
    </row>
    <row r="231" spans="1:8" x14ac:dyDescent="0.25">
      <c r="A231" s="2">
        <v>50926</v>
      </c>
      <c r="B231" s="130">
        <v>0.70869575611043401</v>
      </c>
      <c r="C231" s="130">
        <f>INDEX(Main!$F$2:$F$324,MATCH(A231,Main!$D$2:$D$324,1)+1)</f>
        <v>0.69356694672885844</v>
      </c>
      <c r="E231" s="11"/>
      <c r="F231" s="10"/>
      <c r="G231" s="10"/>
      <c r="H231" s="10"/>
    </row>
    <row r="232" spans="1:8" x14ac:dyDescent="0.25">
      <c r="A232" s="2">
        <v>50955</v>
      </c>
      <c r="B232" s="130">
        <v>0.70870273047349897</v>
      </c>
      <c r="C232" s="130">
        <f>INDEX(Main!$F$2:$F$324,MATCH(A232,Main!$D$2:$D$324,1)+1)</f>
        <v>0.69356694672885844</v>
      </c>
      <c r="E232" s="11"/>
      <c r="F232" s="10"/>
      <c r="G232" s="10"/>
      <c r="H232" s="10"/>
    </row>
    <row r="233" spans="1:8" x14ac:dyDescent="0.25">
      <c r="A233" s="2">
        <v>50988</v>
      </c>
      <c r="B233" s="130">
        <v>0.70871667947371797</v>
      </c>
      <c r="C233" s="130">
        <f>INDEX(Main!$F$2:$F$324,MATCH(A233,Main!$D$2:$D$324,1)+1)</f>
        <v>0.69356694672885844</v>
      </c>
      <c r="E233" s="11"/>
      <c r="F233" s="10"/>
      <c r="G233" s="10"/>
      <c r="H233" s="10"/>
    </row>
    <row r="234" spans="1:8" x14ac:dyDescent="0.25">
      <c r="A234" s="2">
        <v>51017</v>
      </c>
      <c r="B234" s="130">
        <v>0.70869575611070001</v>
      </c>
      <c r="C234" s="130">
        <f>INDEX(Main!$F$2:$F$324,MATCH(A234,Main!$D$2:$D$324,1)+1)</f>
        <v>0.69356694672885844</v>
      </c>
      <c r="E234" s="11"/>
      <c r="F234" s="10"/>
      <c r="G234" s="10"/>
      <c r="H234" s="10"/>
    </row>
    <row r="235" spans="1:8" x14ac:dyDescent="0.25">
      <c r="A235" s="2">
        <v>51047</v>
      </c>
      <c r="B235" s="130">
        <v>0.70870273047375698</v>
      </c>
      <c r="C235" s="130">
        <f>INDEX(Main!$F$2:$F$324,MATCH(A235,Main!$D$2:$D$324,1)+1)</f>
        <v>0.69356694672885844</v>
      </c>
      <c r="E235" s="11"/>
      <c r="F235" s="10"/>
      <c r="G235" s="10"/>
      <c r="H235" s="10"/>
    </row>
    <row r="236" spans="1:8" x14ac:dyDescent="0.25">
      <c r="A236" s="2">
        <v>51079</v>
      </c>
      <c r="B236" s="130">
        <v>0.70870273047349897</v>
      </c>
      <c r="C236" s="130">
        <f>INDEX(Main!$F$2:$F$324,MATCH(A236,Main!$D$2:$D$324,1)+1)</f>
        <v>0.69356694672885844</v>
      </c>
      <c r="E236" s="11"/>
      <c r="F236" s="10"/>
      <c r="G236" s="10"/>
      <c r="H236" s="10"/>
    </row>
    <row r="237" spans="1:8" x14ac:dyDescent="0.25">
      <c r="A237" s="2">
        <v>51108</v>
      </c>
      <c r="B237" s="130">
        <v>0.70870273047324095</v>
      </c>
      <c r="C237" s="130">
        <f>INDEX(Main!$F$2:$F$324,MATCH(A237,Main!$D$2:$D$324,1)+1)</f>
        <v>0.69356694672885844</v>
      </c>
      <c r="E237" s="11"/>
      <c r="F237" s="10"/>
      <c r="G237" s="10"/>
      <c r="H237" s="10"/>
    </row>
    <row r="238" spans="1:8" x14ac:dyDescent="0.25">
      <c r="A238" s="2">
        <v>51141</v>
      </c>
      <c r="B238" s="130">
        <v>0.70871667947396</v>
      </c>
      <c r="C238" s="130">
        <f>INDEX(Main!$F$2:$F$324,MATCH(A238,Main!$D$2:$D$324,1)+1)</f>
        <v>0.69356694672885844</v>
      </c>
      <c r="E238" s="11"/>
      <c r="F238" s="10"/>
      <c r="G238" s="10"/>
      <c r="H238" s="10"/>
    </row>
    <row r="239" spans="1:8" x14ac:dyDescent="0.25">
      <c r="A239" s="2">
        <v>51171</v>
      </c>
      <c r="B239" s="130">
        <v>0.70868878183929596</v>
      </c>
      <c r="C239" s="130">
        <f>INDEX(Main!$F$2:$F$324,MATCH(A239,Main!$D$2:$D$324,1)+1)</f>
        <v>0.69356694672885844</v>
      </c>
      <c r="E239" s="11"/>
      <c r="F239" s="10"/>
      <c r="G239" s="10"/>
      <c r="H239" s="10"/>
    </row>
    <row r="240" spans="1:8" x14ac:dyDescent="0.25">
      <c r="A240" s="2">
        <v>51199</v>
      </c>
      <c r="B240" s="130">
        <v>0.70870273047349897</v>
      </c>
      <c r="C240" s="130">
        <f>INDEX(Main!$F$2:$F$324,MATCH(A240,Main!$D$2:$D$324,1)+1)</f>
        <v>0.69356694672885844</v>
      </c>
      <c r="E240" s="11"/>
      <c r="F240" s="10"/>
      <c r="G240" s="10"/>
      <c r="H240" s="10"/>
    </row>
    <row r="241" spans="1:8" x14ac:dyDescent="0.25">
      <c r="A241" s="2">
        <v>51230</v>
      </c>
      <c r="B241" s="130">
        <v>0.70869575611070001</v>
      </c>
      <c r="C241" s="130">
        <f>INDEX(Main!$F$2:$F$324,MATCH(A241,Main!$D$2:$D$324,1)+1)</f>
        <v>0.69356694672885844</v>
      </c>
      <c r="E241" s="11"/>
      <c r="F241" s="10"/>
      <c r="G241" s="10"/>
      <c r="H241" s="10"/>
    </row>
    <row r="242" spans="1:8" x14ac:dyDescent="0.25">
      <c r="A242" s="2">
        <v>51260</v>
      </c>
      <c r="B242" s="130">
        <v>0.63711717725567496</v>
      </c>
      <c r="C242" s="130">
        <f>INDEX(Main!$F$2:$F$324,MATCH(A242,Main!$D$2:$D$324,1)+1)</f>
        <v>0.60109372893241486</v>
      </c>
      <c r="E242" s="11"/>
      <c r="F242" s="10"/>
      <c r="G242" s="10"/>
      <c r="H242" s="10"/>
    </row>
    <row r="243" spans="1:8" x14ac:dyDescent="0.25">
      <c r="A243" s="2">
        <v>51292</v>
      </c>
      <c r="B243" s="130">
        <v>0.62651228518614399</v>
      </c>
      <c r="C243" s="130">
        <f>INDEX(Main!$F$2:$F$324,MATCH(A243,Main!$D$2:$D$324,1)+1)</f>
        <v>0.60109372893241486</v>
      </c>
      <c r="E243" s="11"/>
      <c r="F243" s="10"/>
      <c r="G243" s="10"/>
      <c r="H243" s="10"/>
    </row>
    <row r="244" spans="1:8" x14ac:dyDescent="0.25">
      <c r="A244" s="2">
        <v>51323</v>
      </c>
      <c r="B244" s="130">
        <v>0.62651773587132897</v>
      </c>
      <c r="C244" s="130">
        <f>INDEX(Main!$F$2:$F$324,MATCH(A244,Main!$D$2:$D$324,1)+1)</f>
        <v>0.60109372893241486</v>
      </c>
      <c r="E244" s="11"/>
      <c r="F244" s="10"/>
      <c r="G244" s="10"/>
      <c r="H244" s="10"/>
    </row>
    <row r="245" spans="1:8" x14ac:dyDescent="0.25">
      <c r="A245" s="2">
        <v>51352</v>
      </c>
      <c r="B245" s="130">
        <v>0.62651228518614399</v>
      </c>
      <c r="C245" s="130">
        <f>INDEX(Main!$F$2:$F$324,MATCH(A245,Main!$D$2:$D$324,1)+1)</f>
        <v>0.60109372893241486</v>
      </c>
      <c r="E245" s="11"/>
      <c r="F245" s="10"/>
      <c r="G245" s="10"/>
      <c r="H245" s="10"/>
    </row>
    <row r="246" spans="1:8" x14ac:dyDescent="0.25">
      <c r="A246" s="2">
        <v>51383</v>
      </c>
      <c r="B246" s="130">
        <v>0.62650683456402201</v>
      </c>
      <c r="C246" s="130">
        <f>INDEX(Main!$F$2:$F$324,MATCH(A246,Main!$D$2:$D$324,1)+1)</f>
        <v>0.60109372893241486</v>
      </c>
      <c r="E246" s="11"/>
      <c r="F246" s="10"/>
      <c r="G246" s="10"/>
      <c r="H246" s="10"/>
    </row>
    <row r="247" spans="1:8" x14ac:dyDescent="0.25">
      <c r="A247" s="2">
        <v>51414</v>
      </c>
      <c r="B247" s="130">
        <v>0.626517735871579</v>
      </c>
      <c r="C247" s="130">
        <f>INDEX(Main!$F$2:$F$324,MATCH(A247,Main!$D$2:$D$324,1)+1)</f>
        <v>0.60109372893241486</v>
      </c>
      <c r="E247" s="11"/>
      <c r="F247" s="10"/>
      <c r="G247" s="10"/>
      <c r="H247" s="10"/>
    </row>
    <row r="248" spans="1:8" x14ac:dyDescent="0.25">
      <c r="A248" s="2">
        <v>51444</v>
      </c>
      <c r="B248" s="130">
        <v>0.62650683456402201</v>
      </c>
      <c r="C248" s="130">
        <f>INDEX(Main!$F$2:$F$324,MATCH(A248,Main!$D$2:$D$324,1)+1)</f>
        <v>0.60109372893241486</v>
      </c>
      <c r="E248" s="11"/>
      <c r="F248" s="10"/>
      <c r="G248" s="10"/>
      <c r="H248" s="10"/>
    </row>
    <row r="249" spans="1:8" x14ac:dyDescent="0.25">
      <c r="A249" s="2">
        <v>51474</v>
      </c>
      <c r="B249" s="130">
        <v>0.62651228518614399</v>
      </c>
      <c r="C249" s="130">
        <f>INDEX(Main!$F$2:$F$324,MATCH(A249,Main!$D$2:$D$324,1)+1)</f>
        <v>0.60109372893241486</v>
      </c>
      <c r="E249" s="11"/>
      <c r="F249" s="10"/>
      <c r="G249" s="10"/>
      <c r="H249" s="10"/>
    </row>
    <row r="250" spans="1:8" x14ac:dyDescent="0.25">
      <c r="A250" s="2">
        <v>51505</v>
      </c>
      <c r="B250" s="130">
        <v>0.62651228518614399</v>
      </c>
      <c r="C250" s="130">
        <f>INDEX(Main!$F$2:$F$324,MATCH(A250,Main!$D$2:$D$324,1)+1)</f>
        <v>0.60109372893241486</v>
      </c>
      <c r="E250" s="11"/>
      <c r="F250" s="10"/>
      <c r="G250" s="10"/>
      <c r="H250" s="10"/>
    </row>
    <row r="251" spans="1:8" x14ac:dyDescent="0.25">
      <c r="A251" s="2">
        <v>51536</v>
      </c>
      <c r="B251" s="130">
        <v>0.62649593350916299</v>
      </c>
      <c r="C251" s="130">
        <f>INDEX(Main!$F$2:$F$324,MATCH(A251,Main!$D$2:$D$324,1)+1)</f>
        <v>0.60109372893241486</v>
      </c>
      <c r="E251" s="11"/>
      <c r="F251" s="10"/>
      <c r="G251" s="10"/>
      <c r="H251" s="10"/>
    </row>
    <row r="252" spans="1:8" x14ac:dyDescent="0.25">
      <c r="A252" s="2">
        <v>51564</v>
      </c>
      <c r="B252" s="130">
        <v>0.62651228518588598</v>
      </c>
      <c r="C252" s="130">
        <f>INDEX(Main!$F$2:$F$324,MATCH(A252,Main!$D$2:$D$324,1)+1)</f>
        <v>0.60109372893241486</v>
      </c>
      <c r="E252" s="11"/>
      <c r="F252" s="10"/>
      <c r="G252" s="10"/>
      <c r="H252" s="10"/>
    </row>
    <row r="253" spans="1:8" x14ac:dyDescent="0.25">
      <c r="A253" s="2">
        <v>51597</v>
      </c>
      <c r="B253" s="130">
        <v>0.626517735871579</v>
      </c>
      <c r="C253" s="130">
        <f>INDEX(Main!$F$2:$F$324,MATCH(A253,Main!$D$2:$D$324,1)+1)</f>
        <v>0.60109372893241486</v>
      </c>
      <c r="E253" s="11"/>
      <c r="F253" s="10"/>
      <c r="G253" s="10"/>
      <c r="H253" s="10"/>
    </row>
    <row r="254" spans="1:8" x14ac:dyDescent="0.25">
      <c r="A254" s="2">
        <v>51625</v>
      </c>
      <c r="B254" s="130">
        <v>0.62651228518614399</v>
      </c>
      <c r="C254" s="130">
        <f>INDEX(Main!$F$2:$F$324,MATCH(A254,Main!$D$2:$D$324,1)+1)</f>
        <v>0.60109372893241486</v>
      </c>
      <c r="E254" s="11"/>
      <c r="F254" s="10"/>
      <c r="G254" s="10"/>
      <c r="H254" s="10"/>
    </row>
    <row r="255" spans="1:8" x14ac:dyDescent="0.25">
      <c r="A255" s="2">
        <v>51657</v>
      </c>
      <c r="B255" s="130">
        <v>0.62651228518614399</v>
      </c>
      <c r="C255" s="130">
        <f>INDEX(Main!$F$2:$F$324,MATCH(A255,Main!$D$2:$D$324,1)+1)</f>
        <v>0.60109372893241486</v>
      </c>
      <c r="E255" s="11"/>
      <c r="F255" s="10"/>
      <c r="G255" s="10"/>
      <c r="H255" s="10"/>
    </row>
    <row r="256" spans="1:8" x14ac:dyDescent="0.25">
      <c r="A256" s="2">
        <v>51687</v>
      </c>
      <c r="B256" s="130">
        <v>0.62651228518614399</v>
      </c>
      <c r="C256" s="130">
        <f>INDEX(Main!$F$2:$F$324,MATCH(A256,Main!$D$2:$D$324,1)+1)</f>
        <v>0.60109372893241486</v>
      </c>
      <c r="E256" s="11"/>
      <c r="F256" s="10"/>
      <c r="G256" s="10"/>
      <c r="H256" s="10"/>
    </row>
    <row r="257" spans="1:8" x14ac:dyDescent="0.25">
      <c r="A257" s="2">
        <v>51717</v>
      </c>
      <c r="B257" s="130">
        <v>0.62651228518614399</v>
      </c>
      <c r="C257" s="130">
        <f>INDEX(Main!$F$2:$F$324,MATCH(A257,Main!$D$2:$D$324,1)+1)</f>
        <v>0.60109372893241486</v>
      </c>
      <c r="E257" s="11"/>
      <c r="F257" s="10"/>
      <c r="G257" s="10"/>
      <c r="H257" s="10"/>
    </row>
    <row r="258" spans="1:8" x14ac:dyDescent="0.25">
      <c r="A258" s="2">
        <v>51748</v>
      </c>
      <c r="B258" s="130">
        <v>0.626506834563756</v>
      </c>
      <c r="C258" s="130">
        <f>INDEX(Main!$F$2:$F$324,MATCH(A258,Main!$D$2:$D$324,1)+1)</f>
        <v>0.60109372893241486</v>
      </c>
      <c r="E258" s="11"/>
      <c r="F258" s="10"/>
      <c r="G258" s="10"/>
      <c r="H258" s="10"/>
    </row>
    <row r="259" spans="1:8" x14ac:dyDescent="0.25">
      <c r="A259" s="2">
        <v>51778</v>
      </c>
      <c r="B259" s="130">
        <v>0.62651228518614399</v>
      </c>
      <c r="C259" s="130">
        <f>INDEX(Main!$F$2:$F$324,MATCH(A259,Main!$D$2:$D$324,1)+1)</f>
        <v>0.60109372893241486</v>
      </c>
      <c r="E259" s="11"/>
      <c r="F259" s="10"/>
      <c r="G259" s="10"/>
      <c r="H259" s="10"/>
    </row>
    <row r="260" spans="1:8" x14ac:dyDescent="0.25">
      <c r="A260" s="2">
        <v>51809</v>
      </c>
      <c r="B260" s="130">
        <v>0.62650683456402201</v>
      </c>
      <c r="C260" s="130">
        <f>INDEX(Main!$F$2:$F$324,MATCH(A260,Main!$D$2:$D$324,1)+1)</f>
        <v>0.60109372893241486</v>
      </c>
      <c r="E260" s="11"/>
      <c r="F260" s="10"/>
      <c r="G260" s="10"/>
      <c r="H260" s="10"/>
    </row>
    <row r="261" spans="1:8" x14ac:dyDescent="0.25">
      <c r="A261" s="2">
        <v>51841</v>
      </c>
      <c r="B261" s="130">
        <v>0.62652318662014395</v>
      </c>
      <c r="C261" s="130">
        <f>INDEX(Main!$F$2:$F$324,MATCH(A261,Main!$D$2:$D$324,1)+1)</f>
        <v>0.60109372893241486</v>
      </c>
      <c r="E261" s="11"/>
      <c r="F261" s="10"/>
      <c r="G261" s="10"/>
      <c r="H261" s="10"/>
    </row>
    <row r="262" spans="1:8" x14ac:dyDescent="0.25">
      <c r="A262" s="2">
        <v>51870</v>
      </c>
      <c r="B262" s="130">
        <v>0.62651228518614399</v>
      </c>
      <c r="C262" s="130">
        <f>INDEX(Main!$F$2:$F$324,MATCH(A262,Main!$D$2:$D$324,1)+1)</f>
        <v>0.60109372893241486</v>
      </c>
      <c r="E262" s="11"/>
      <c r="F262" s="10"/>
      <c r="G262" s="10"/>
      <c r="H262" s="10"/>
    </row>
    <row r="263" spans="1:8" x14ac:dyDescent="0.25">
      <c r="A263" s="2">
        <v>51901</v>
      </c>
      <c r="B263" s="130">
        <v>0.62649593350916299</v>
      </c>
      <c r="C263" s="130">
        <f>INDEX(Main!$F$2:$F$324,MATCH(A263,Main!$D$2:$D$324,1)+1)</f>
        <v>0.60109372893241486</v>
      </c>
      <c r="E263" s="11"/>
      <c r="F263" s="10"/>
      <c r="G263" s="10"/>
      <c r="H263" s="10"/>
    </row>
    <row r="264" spans="1:8" x14ac:dyDescent="0.25">
      <c r="A264" s="2">
        <v>51929</v>
      </c>
      <c r="B264" s="130">
        <v>0.62651228518614399</v>
      </c>
      <c r="C264" s="130">
        <f>INDEX(Main!$F$2:$F$324,MATCH(A264,Main!$D$2:$D$324,1)+1)</f>
        <v>0.60109372893241486</v>
      </c>
      <c r="E264" s="11"/>
      <c r="F264" s="10"/>
      <c r="G264" s="10"/>
      <c r="H264" s="10"/>
    </row>
    <row r="265" spans="1:8" x14ac:dyDescent="0.25">
      <c r="A265" s="2">
        <v>51961</v>
      </c>
      <c r="B265" s="130">
        <v>0.62651228518614399</v>
      </c>
      <c r="C265" s="130">
        <f>INDEX(Main!$F$2:$F$324,MATCH(A265,Main!$D$2:$D$324,1)+1)</f>
        <v>0.60109372893241486</v>
      </c>
      <c r="E265" s="11"/>
      <c r="F265" s="10"/>
      <c r="G265" s="10"/>
      <c r="H265" s="10"/>
    </row>
    <row r="266" spans="1:8" x14ac:dyDescent="0.25">
      <c r="A266" s="2">
        <v>51990</v>
      </c>
      <c r="B266" s="130">
        <v>0.62651228518614399</v>
      </c>
      <c r="C266" s="130">
        <f>INDEX(Main!$F$2:$F$324,MATCH(A266,Main!$D$2:$D$324,1)+1)</f>
        <v>0.60109372893241486</v>
      </c>
      <c r="E266" s="11"/>
      <c r="F266" s="10"/>
      <c r="G266" s="10"/>
      <c r="H266" s="10"/>
    </row>
    <row r="267" spans="1:8" x14ac:dyDescent="0.25">
      <c r="A267" s="2">
        <v>52024</v>
      </c>
      <c r="B267" s="130">
        <v>0.62652318662014395</v>
      </c>
      <c r="C267" s="130">
        <f>INDEX(Main!$F$2:$F$324,MATCH(A267,Main!$D$2:$D$324,1)+1)</f>
        <v>0.60109372893241486</v>
      </c>
      <c r="E267" s="11"/>
      <c r="F267" s="10"/>
      <c r="G267" s="10"/>
      <c r="H267" s="10"/>
    </row>
    <row r="268" spans="1:8" x14ac:dyDescent="0.25">
      <c r="A268" s="2">
        <v>52051</v>
      </c>
      <c r="B268" s="130">
        <v>0.62651228518614399</v>
      </c>
      <c r="C268" s="130">
        <f>INDEX(Main!$F$2:$F$324,MATCH(A268,Main!$D$2:$D$324,1)+1)</f>
        <v>0.60109372893241486</v>
      </c>
      <c r="E268" s="11"/>
      <c r="F268" s="10"/>
      <c r="G268" s="10"/>
      <c r="H268" s="10"/>
    </row>
    <row r="269" spans="1:8" x14ac:dyDescent="0.25">
      <c r="A269" s="2">
        <v>52082</v>
      </c>
      <c r="B269" s="130">
        <v>0.62651228518614399</v>
      </c>
      <c r="C269" s="130">
        <f>INDEX(Main!$F$2:$F$324,MATCH(A269,Main!$D$2:$D$324,1)+1)</f>
        <v>0.60109372893241486</v>
      </c>
      <c r="E269" s="11"/>
      <c r="F269" s="10"/>
      <c r="G269" s="10"/>
      <c r="H269" s="10"/>
    </row>
    <row r="270" spans="1:8" x14ac:dyDescent="0.25">
      <c r="A270" s="2">
        <v>52115</v>
      </c>
      <c r="B270" s="130">
        <v>0.626517735871579</v>
      </c>
      <c r="C270" s="130">
        <f>INDEX(Main!$F$2:$F$324,MATCH(A270,Main!$D$2:$D$324,1)+1)</f>
        <v>0.60109372893241486</v>
      </c>
      <c r="E270" s="11"/>
      <c r="F270" s="10"/>
      <c r="G270" s="10"/>
      <c r="H270" s="10"/>
    </row>
    <row r="271" spans="1:8" x14ac:dyDescent="0.25">
      <c r="A271" s="2">
        <v>52143</v>
      </c>
      <c r="B271" s="130">
        <v>0.62651228518588598</v>
      </c>
      <c r="C271" s="130">
        <f>INDEX(Main!$F$2:$F$324,MATCH(A271,Main!$D$2:$D$324,1)+1)</f>
        <v>0.60109372893241486</v>
      </c>
      <c r="E271" s="11"/>
      <c r="F271" s="10"/>
      <c r="G271" s="10"/>
      <c r="H271" s="10"/>
    </row>
    <row r="272" spans="1:8" x14ac:dyDescent="0.25">
      <c r="A272" s="2">
        <v>52174</v>
      </c>
      <c r="B272" s="130">
        <v>0.62650683456402201</v>
      </c>
      <c r="C272" s="130">
        <f>INDEX(Main!$F$2:$F$324,MATCH(A272,Main!$D$2:$D$324,1)+1)</f>
        <v>0.60109372893241486</v>
      </c>
      <c r="E272" s="11"/>
      <c r="F272" s="10"/>
      <c r="G272" s="10"/>
      <c r="H272" s="10"/>
    </row>
    <row r="273" spans="1:8" x14ac:dyDescent="0.25">
      <c r="A273" s="2">
        <v>52205</v>
      </c>
      <c r="B273" s="130">
        <v>0.626517735871579</v>
      </c>
      <c r="C273" s="130">
        <f>INDEX(Main!$F$2:$F$324,MATCH(A273,Main!$D$2:$D$324,1)+1)</f>
        <v>0.60109372893241486</v>
      </c>
      <c r="E273" s="11"/>
      <c r="F273" s="10"/>
      <c r="G273" s="10"/>
      <c r="H273" s="10"/>
    </row>
    <row r="274" spans="1:8" x14ac:dyDescent="0.25">
      <c r="A274" s="2">
        <v>52235</v>
      </c>
      <c r="B274" s="130">
        <v>0.62651228518614399</v>
      </c>
      <c r="C274" s="130">
        <f>INDEX(Main!$F$2:$F$324,MATCH(A274,Main!$D$2:$D$324,1)+1)</f>
        <v>0.60109372893241486</v>
      </c>
      <c r="E274" s="11"/>
      <c r="F274" s="10"/>
      <c r="G274" s="10"/>
      <c r="H274" s="10"/>
    </row>
    <row r="275" spans="1:8" x14ac:dyDescent="0.25">
      <c r="A275" s="2">
        <v>52266</v>
      </c>
      <c r="B275" s="130">
        <v>0.62649593350916299</v>
      </c>
      <c r="C275" s="130">
        <f>INDEX(Main!$F$2:$F$324,MATCH(A275,Main!$D$2:$D$324,1)+1)</f>
        <v>0.60109372893241486</v>
      </c>
      <c r="E275" s="11"/>
      <c r="F275" s="10"/>
      <c r="G275" s="10"/>
      <c r="H275" s="10"/>
    </row>
    <row r="276" spans="1:8" x14ac:dyDescent="0.25">
      <c r="A276" s="2">
        <v>52296</v>
      </c>
      <c r="B276" s="130">
        <v>0.62652318662014395</v>
      </c>
      <c r="C276" s="130">
        <f>INDEX(Main!$F$2:$F$324,MATCH(A276,Main!$D$2:$D$324,1)+1)</f>
        <v>0.60109372893241486</v>
      </c>
      <c r="E276" s="11"/>
      <c r="F276" s="10"/>
      <c r="G276" s="10"/>
      <c r="H276" s="10"/>
    </row>
    <row r="277" spans="1:8" x14ac:dyDescent="0.25">
      <c r="A277" s="2">
        <v>52325</v>
      </c>
      <c r="B277" s="130">
        <v>0.62650683456402201</v>
      </c>
      <c r="C277" s="130">
        <f>INDEX(Main!$F$2:$F$324,MATCH(A277,Main!$D$2:$D$324,1)+1)</f>
        <v>0.60109372893241486</v>
      </c>
      <c r="E277" s="11"/>
      <c r="F277" s="10"/>
      <c r="G277" s="10"/>
      <c r="H277" s="10"/>
    </row>
    <row r="278" spans="1:8" x14ac:dyDescent="0.25">
      <c r="A278" s="2">
        <v>52355</v>
      </c>
      <c r="B278" s="130">
        <v>0.62651228518614399</v>
      </c>
      <c r="C278" s="130">
        <f>INDEX(Main!$F$2:$F$324,MATCH(A278,Main!$D$2:$D$324,1)+1)</f>
        <v>0.60109372893241486</v>
      </c>
      <c r="E278" s="11"/>
      <c r="F278" s="10"/>
      <c r="G278" s="10"/>
      <c r="H278" s="10"/>
    </row>
    <row r="279" spans="1:8" x14ac:dyDescent="0.25">
      <c r="A279" s="2">
        <v>52388</v>
      </c>
      <c r="B279" s="130">
        <v>0.626517735871579</v>
      </c>
      <c r="C279" s="130">
        <f>INDEX(Main!$F$2:$F$324,MATCH(A279,Main!$D$2:$D$324,1)+1)</f>
        <v>0.60109372893241486</v>
      </c>
      <c r="E279" s="11"/>
      <c r="F279" s="10"/>
      <c r="G279" s="10"/>
      <c r="H279" s="10"/>
    </row>
    <row r="280" spans="1:8" x14ac:dyDescent="0.25">
      <c r="A280" s="2">
        <v>52416</v>
      </c>
      <c r="B280" s="130">
        <v>0.62651228518588598</v>
      </c>
      <c r="C280" s="130">
        <f>INDEX(Main!$F$2:$F$324,MATCH(A280,Main!$D$2:$D$324,1)+1)</f>
        <v>0.60109372893241486</v>
      </c>
      <c r="E280" s="11"/>
      <c r="F280" s="10"/>
      <c r="G280" s="10"/>
      <c r="H280" s="10"/>
    </row>
    <row r="281" spans="1:8" x14ac:dyDescent="0.25">
      <c r="A281" s="2">
        <v>52447</v>
      </c>
      <c r="B281" s="130">
        <v>0.62651228518614399</v>
      </c>
      <c r="C281" s="130">
        <f>INDEX(Main!$F$2:$F$324,MATCH(A281,Main!$D$2:$D$324,1)+1)</f>
        <v>0.60109372893241486</v>
      </c>
      <c r="E281" s="11"/>
      <c r="F281" s="10"/>
      <c r="G281" s="10"/>
      <c r="H281" s="10"/>
    </row>
    <row r="282" spans="1:8" x14ac:dyDescent="0.25">
      <c r="A282" s="2">
        <v>52479</v>
      </c>
      <c r="B282" s="130">
        <v>0.62651228518588598</v>
      </c>
      <c r="C282" s="130">
        <f>INDEX(Main!$F$2:$F$324,MATCH(A282,Main!$D$2:$D$324,1)+1)</f>
        <v>0.60109372893241486</v>
      </c>
      <c r="E282" s="11"/>
      <c r="F282" s="10"/>
      <c r="G282" s="10"/>
      <c r="H282" s="10"/>
    </row>
    <row r="283" spans="1:8" x14ac:dyDescent="0.25">
      <c r="A283" s="2">
        <v>52508</v>
      </c>
      <c r="B283" s="130">
        <v>0.62651228518640201</v>
      </c>
      <c r="C283" s="130">
        <f>INDEX(Main!$F$2:$F$324,MATCH(A283,Main!$D$2:$D$324,1)+1)</f>
        <v>0.60109372893241486</v>
      </c>
      <c r="E283" s="11"/>
      <c r="F283" s="10"/>
      <c r="G283" s="10"/>
      <c r="H283" s="10"/>
    </row>
    <row r="284" spans="1:8" x14ac:dyDescent="0.25">
      <c r="A284" s="2">
        <v>52539</v>
      </c>
      <c r="B284" s="130">
        <v>0.62650683456402201</v>
      </c>
      <c r="C284" s="130">
        <f>INDEX(Main!$F$2:$F$324,MATCH(A284,Main!$D$2:$D$324,1)+1)</f>
        <v>0.60109372893241486</v>
      </c>
      <c r="E284" s="11"/>
      <c r="F284" s="10"/>
      <c r="G284" s="10"/>
      <c r="H284" s="10"/>
    </row>
    <row r="285" spans="1:8" x14ac:dyDescent="0.25">
      <c r="A285" s="2">
        <v>52569</v>
      </c>
      <c r="B285" s="130">
        <v>0.62651228518614399</v>
      </c>
      <c r="C285" s="130">
        <f>INDEX(Main!$F$2:$F$324,MATCH(A285,Main!$D$2:$D$324,1)+1)</f>
        <v>0.60109372893241486</v>
      </c>
      <c r="E285" s="11"/>
      <c r="F285" s="10"/>
      <c r="G285" s="10"/>
      <c r="H285" s="10"/>
    </row>
    <row r="286" spans="1:8" x14ac:dyDescent="0.25">
      <c r="A286" s="2">
        <v>52600</v>
      </c>
      <c r="B286" s="130">
        <v>0.62651228518614399</v>
      </c>
      <c r="C286" s="130">
        <f>INDEX(Main!$F$2:$F$324,MATCH(A286,Main!$D$2:$D$324,1)+1)</f>
        <v>0.60109372893241486</v>
      </c>
      <c r="E286" s="11"/>
      <c r="F286" s="10"/>
      <c r="G286" s="10"/>
      <c r="H286" s="10"/>
    </row>
    <row r="287" spans="1:8" x14ac:dyDescent="0.25">
      <c r="A287" s="2">
        <v>52631</v>
      </c>
      <c r="B287" s="130">
        <v>0.62650138400459798</v>
      </c>
      <c r="C287" s="130">
        <f>INDEX(Main!$F$2:$F$324,MATCH(A287,Main!$D$2:$D$324,1)+1)</f>
        <v>0.60109372893241486</v>
      </c>
      <c r="E287" s="11"/>
      <c r="F287" s="10"/>
      <c r="G287" s="10"/>
      <c r="H287" s="10"/>
    </row>
    <row r="288" spans="1:8" x14ac:dyDescent="0.25">
      <c r="A288" s="2">
        <v>52660</v>
      </c>
      <c r="B288" s="130">
        <v>0.62651228518614399</v>
      </c>
      <c r="C288" s="130">
        <f>INDEX(Main!$F$2:$F$324,MATCH(A288,Main!$D$2:$D$324,1)+1)</f>
        <v>0.60109372893241486</v>
      </c>
      <c r="E288" s="11"/>
      <c r="F288" s="10"/>
      <c r="G288" s="10"/>
      <c r="H288" s="10"/>
    </row>
    <row r="289" spans="1:8" x14ac:dyDescent="0.25">
      <c r="A289" s="2">
        <v>52691</v>
      </c>
      <c r="B289" s="130">
        <v>0.626506834563756</v>
      </c>
      <c r="C289" s="130">
        <f>INDEX(Main!$F$2:$F$324,MATCH(A289,Main!$D$2:$D$324,1)+1)</f>
        <v>0.60109372893241486</v>
      </c>
      <c r="E289" s="11"/>
      <c r="F289" s="10"/>
      <c r="G289" s="10"/>
      <c r="H289" s="10"/>
    </row>
    <row r="290" spans="1:8" x14ac:dyDescent="0.25">
      <c r="A290" s="2">
        <v>52723</v>
      </c>
      <c r="B290" s="130">
        <v>0.62652318662014395</v>
      </c>
      <c r="C290" s="130">
        <f>INDEX(Main!$F$2:$F$324,MATCH(A290,Main!$D$2:$D$324,1)+1)</f>
        <v>0.60109372893241486</v>
      </c>
      <c r="E290" s="11"/>
      <c r="F290" s="10"/>
      <c r="G290" s="10"/>
      <c r="H290" s="10"/>
    </row>
    <row r="291" spans="1:8" x14ac:dyDescent="0.25">
      <c r="A291" s="2">
        <v>52753</v>
      </c>
      <c r="B291" s="130">
        <v>0.62650683456402201</v>
      </c>
      <c r="C291" s="130">
        <f>INDEX(Main!$F$2:$F$324,MATCH(A291,Main!$D$2:$D$324,1)+1)</f>
        <v>0.60109372893241486</v>
      </c>
      <c r="E291" s="11"/>
      <c r="F291" s="10"/>
      <c r="G291" s="10"/>
      <c r="H291" s="10"/>
    </row>
    <row r="292" spans="1:8" x14ac:dyDescent="0.25">
      <c r="A292" s="2">
        <v>52782</v>
      </c>
      <c r="B292" s="130">
        <v>0.62651228518588598</v>
      </c>
      <c r="C292" s="130">
        <f>INDEX(Main!$F$2:$F$324,MATCH(A292,Main!$D$2:$D$324,1)+1)</f>
        <v>0.60109372893241486</v>
      </c>
      <c r="E292" s="11"/>
      <c r="F292" s="10"/>
      <c r="G292" s="10"/>
      <c r="H292" s="10"/>
    </row>
    <row r="293" spans="1:8" x14ac:dyDescent="0.25">
      <c r="A293" s="2">
        <v>52815</v>
      </c>
      <c r="B293" s="130">
        <v>0.62652318661990103</v>
      </c>
      <c r="C293" s="130">
        <f>INDEX(Main!$F$2:$F$324,MATCH(A293,Main!$D$2:$D$324,1)+1)</f>
        <v>0.60109372893241486</v>
      </c>
      <c r="E293" s="11"/>
      <c r="F293" s="10"/>
      <c r="G293" s="10"/>
      <c r="H293" s="10"/>
    </row>
    <row r="294" spans="1:8" x14ac:dyDescent="0.25">
      <c r="A294" s="2">
        <v>52844</v>
      </c>
      <c r="B294" s="130">
        <v>0.62650683456402201</v>
      </c>
      <c r="C294" s="130">
        <f>INDEX(Main!$F$2:$F$324,MATCH(A294,Main!$D$2:$D$324,1)+1)</f>
        <v>0.60109372893241486</v>
      </c>
      <c r="E294" s="11"/>
      <c r="F294" s="10"/>
      <c r="G294" s="10"/>
      <c r="H294" s="10"/>
    </row>
    <row r="295" spans="1:8" x14ac:dyDescent="0.25">
      <c r="A295" s="2">
        <v>52874</v>
      </c>
      <c r="B295" s="130">
        <v>0.62651228518588598</v>
      </c>
      <c r="C295" s="130">
        <f>INDEX(Main!$F$2:$F$324,MATCH(A295,Main!$D$2:$D$324,1)+1)</f>
        <v>0.60109372893241486</v>
      </c>
      <c r="E295" s="11"/>
      <c r="F295" s="10"/>
      <c r="G295" s="10"/>
      <c r="H295" s="10"/>
    </row>
    <row r="296" spans="1:8" x14ac:dyDescent="0.25">
      <c r="A296" s="2">
        <v>52906</v>
      </c>
      <c r="B296" s="130">
        <v>0.62651228518614399</v>
      </c>
      <c r="C296" s="130">
        <f>INDEX(Main!$F$2:$F$324,MATCH(A296,Main!$D$2:$D$324,1)+1)</f>
        <v>0.60109372893241486</v>
      </c>
      <c r="E296" s="11"/>
      <c r="F296" s="10"/>
      <c r="G296" s="10"/>
      <c r="H296" s="10"/>
    </row>
    <row r="297" spans="1:8" x14ac:dyDescent="0.25">
      <c r="A297" s="2">
        <v>52935</v>
      </c>
      <c r="B297" s="130">
        <v>0.62651228518614399</v>
      </c>
      <c r="C297" s="130">
        <f>INDEX(Main!$F$2:$F$324,MATCH(A297,Main!$D$2:$D$324,1)+1)</f>
        <v>0.60109372893241486</v>
      </c>
      <c r="E297" s="11"/>
      <c r="F297" s="10"/>
      <c r="G297" s="10"/>
      <c r="H297" s="10"/>
    </row>
    <row r="298" spans="1:8" x14ac:dyDescent="0.25">
      <c r="A298" s="2">
        <v>52968</v>
      </c>
      <c r="B298" s="130">
        <v>0.62652318662014395</v>
      </c>
      <c r="C298" s="130">
        <f>INDEX(Main!$F$2:$F$324,MATCH(A298,Main!$D$2:$D$324,1)+1)</f>
        <v>0.60109372893241486</v>
      </c>
      <c r="E298" s="11"/>
      <c r="F298" s="10"/>
      <c r="G298" s="10"/>
      <c r="H298" s="10"/>
    </row>
    <row r="299" spans="1:8" x14ac:dyDescent="0.25">
      <c r="A299" s="2">
        <v>52999</v>
      </c>
      <c r="B299" s="130">
        <v>0.62649593350916299</v>
      </c>
      <c r="C299" s="130">
        <f>INDEX(Main!$F$2:$F$324,MATCH(A299,Main!$D$2:$D$324,1)+1)</f>
        <v>0.60109372893241486</v>
      </c>
      <c r="E299" s="11"/>
      <c r="F299" s="10"/>
      <c r="G299" s="10"/>
      <c r="H299" s="10"/>
    </row>
    <row r="300" spans="1:8" x14ac:dyDescent="0.25">
      <c r="A300" s="2">
        <v>53025</v>
      </c>
      <c r="B300" s="130">
        <v>0.62651228518614399</v>
      </c>
      <c r="C300" s="130">
        <f>INDEX(Main!$F$2:$F$324,MATCH(A300,Main!$D$2:$D$324,1)+1)</f>
        <v>0.60109372893241486</v>
      </c>
      <c r="E300" s="11"/>
      <c r="F300" s="10"/>
      <c r="G300" s="10"/>
      <c r="H300" s="10"/>
    </row>
    <row r="301" spans="1:8" x14ac:dyDescent="0.25">
      <c r="A301" s="2">
        <v>53056</v>
      </c>
      <c r="B301" s="130">
        <v>0.62650683456402201</v>
      </c>
      <c r="C301" s="130">
        <f>INDEX(Main!$F$2:$F$324,MATCH(A301,Main!$D$2:$D$324,1)+1)</f>
        <v>0.60109372893241486</v>
      </c>
      <c r="E301" s="11"/>
      <c r="F301" s="10"/>
      <c r="G301" s="10"/>
      <c r="H301" s="10"/>
    </row>
    <row r="302" spans="1:8" x14ac:dyDescent="0.25">
      <c r="A302" s="2">
        <v>53087</v>
      </c>
      <c r="B302" s="130">
        <v>0.59107538927199998</v>
      </c>
      <c r="C302" s="130">
        <f>INDEX(Main!$F$2:$F$324,MATCH(A302,Main!$D$2:$D$324,1)+1)</f>
        <v>0.60109372893241486</v>
      </c>
      <c r="E302" s="11"/>
      <c r="F302" s="10"/>
      <c r="G302" s="10"/>
      <c r="H302" s="10"/>
    </row>
    <row r="303" spans="1:8" x14ac:dyDescent="0.25">
      <c r="A303" s="2">
        <v>53118</v>
      </c>
      <c r="B303" s="130">
        <v>0.58600275058253704</v>
      </c>
      <c r="C303" s="130">
        <f>INDEX(Main!$F$2:$F$324,MATCH(A303,Main!$D$2:$D$324,1)+1)</f>
        <v>0.60109372893241486</v>
      </c>
      <c r="E303" s="11"/>
      <c r="F303" s="10"/>
      <c r="G303" s="10"/>
      <c r="H303" s="10"/>
    </row>
    <row r="304" spans="1:8" x14ac:dyDescent="0.25">
      <c r="A304" s="2">
        <v>53147</v>
      </c>
      <c r="B304" s="130">
        <v>0.58601705678777605</v>
      </c>
      <c r="C304" s="130">
        <f>INDEX(Main!$F$2:$F$324,MATCH(A304,Main!$D$2:$D$324,1)+1)</f>
        <v>0.60109372893241486</v>
      </c>
      <c r="E304" s="11"/>
      <c r="F304" s="10"/>
      <c r="G304" s="10"/>
      <c r="H304" s="10"/>
    </row>
    <row r="305" spans="1:8" x14ac:dyDescent="0.25">
      <c r="A305" s="2">
        <v>53179</v>
      </c>
      <c r="B305" s="130">
        <v>0.58601228800100902</v>
      </c>
      <c r="C305" s="130">
        <f>INDEX(Main!$F$2:$F$324,MATCH(A305,Main!$D$2:$D$324,1)+1)</f>
        <v>0.60109372893241486</v>
      </c>
      <c r="E305" s="11"/>
      <c r="F305" s="10"/>
      <c r="G305" s="10"/>
      <c r="H305" s="10"/>
    </row>
    <row r="306" spans="1:8" x14ac:dyDescent="0.25">
      <c r="A306" s="2">
        <v>53209</v>
      </c>
      <c r="B306" s="130">
        <v>0.58600275058227103</v>
      </c>
      <c r="C306" s="130">
        <f>INDEX(Main!$F$2:$F$324,MATCH(A306,Main!$D$2:$D$324,1)+1)</f>
        <v>0.60109372893241486</v>
      </c>
      <c r="E306" s="11"/>
      <c r="F306" s="10"/>
      <c r="G306" s="10"/>
      <c r="H306" s="10"/>
    </row>
    <row r="307" spans="1:8" x14ac:dyDescent="0.25">
      <c r="A307" s="2">
        <v>53241</v>
      </c>
      <c r="B307" s="130">
        <v>0.58601705678777605</v>
      </c>
      <c r="C307" s="130">
        <f>INDEX(Main!$F$2:$F$324,MATCH(A307,Main!$D$2:$D$324,1)+1)</f>
        <v>0.60109372893241486</v>
      </c>
      <c r="E307" s="11"/>
      <c r="F307" s="10"/>
      <c r="G307" s="10"/>
      <c r="H307" s="10"/>
    </row>
    <row r="308" spans="1:8" x14ac:dyDescent="0.25">
      <c r="A308" s="2">
        <v>53270</v>
      </c>
      <c r="B308" s="130">
        <v>0.58600275058227103</v>
      </c>
      <c r="C308" s="130">
        <f>INDEX(Main!$F$2:$F$324,MATCH(A308,Main!$D$2:$D$324,1)+1)</f>
        <v>0.60109372893241486</v>
      </c>
      <c r="E308" s="11"/>
      <c r="F308" s="10"/>
      <c r="G308" s="10"/>
      <c r="H308" s="10"/>
    </row>
    <row r="309" spans="1:8" x14ac:dyDescent="0.25">
      <c r="A309" s="2">
        <v>53300</v>
      </c>
      <c r="B309" s="130">
        <v>0.58600751926572303</v>
      </c>
      <c r="C309" s="130">
        <f>INDEX(Main!$F$2:$F$324,MATCH(A309,Main!$D$2:$D$324,1)+1)</f>
        <v>0.60109372893241486</v>
      </c>
      <c r="E309" s="11"/>
      <c r="F309" s="10"/>
      <c r="G309" s="10"/>
      <c r="H309" s="10"/>
    </row>
    <row r="310" spans="1:8" x14ac:dyDescent="0.25">
      <c r="A310" s="2">
        <v>53332</v>
      </c>
      <c r="B310" s="130">
        <v>0.58601228800100902</v>
      </c>
      <c r="C310" s="130">
        <f>INDEX(Main!$F$2:$F$324,MATCH(A310,Main!$D$2:$D$324,1)+1)</f>
        <v>0.60109372893241486</v>
      </c>
      <c r="E310" s="11"/>
      <c r="F310" s="10"/>
      <c r="G310" s="10"/>
      <c r="H310" s="10"/>
    </row>
    <row r="311" spans="1:8" x14ac:dyDescent="0.25">
      <c r="A311" s="2">
        <v>53363</v>
      </c>
      <c r="B311" s="130">
        <v>0.58599321337081201</v>
      </c>
      <c r="C311" s="130">
        <f>INDEX(Main!$F$2:$F$324,MATCH(A311,Main!$D$2:$D$324,1)+1)</f>
        <v>0.60109372893241486</v>
      </c>
      <c r="E311" s="11"/>
      <c r="F311" s="10"/>
      <c r="G311" s="10"/>
      <c r="H311" s="10"/>
    </row>
    <row r="312" spans="1:8" x14ac:dyDescent="0.25">
      <c r="A312" s="2">
        <v>53390</v>
      </c>
      <c r="B312" s="130">
        <v>0.58600751926572303</v>
      </c>
      <c r="C312" s="130">
        <f>INDEX(Main!$F$2:$F$324,MATCH(A312,Main!$D$2:$D$324,1)+1)</f>
        <v>0.60109372893241486</v>
      </c>
      <c r="E312" s="11"/>
      <c r="F312" s="10"/>
      <c r="G312" s="10"/>
      <c r="H312" s="10"/>
    </row>
    <row r="313" spans="1:8" x14ac:dyDescent="0.25">
      <c r="A313" s="2">
        <v>53421</v>
      </c>
      <c r="B313" s="130">
        <v>0.58600275058253704</v>
      </c>
      <c r="C313" s="130">
        <f>INDEX(Main!$F$2:$F$324,MATCH(A313,Main!$D$2:$D$324,1)+1)</f>
        <v>0.60109372893241486</v>
      </c>
      <c r="E313" s="11"/>
      <c r="F313" s="10"/>
      <c r="G313" s="10"/>
      <c r="H313" s="10"/>
    </row>
    <row r="314" spans="1:8" x14ac:dyDescent="0.25">
      <c r="A314" s="2">
        <v>53451</v>
      </c>
      <c r="B314" s="130">
        <v>0.58600751926572303</v>
      </c>
      <c r="C314" s="130">
        <f>INDEX(Main!$F$2:$F$324,MATCH(A314,Main!$D$2:$D$324,1)+1)</f>
        <v>0.60109372893241486</v>
      </c>
      <c r="E314" s="11"/>
      <c r="F314" s="10"/>
      <c r="G314" s="10"/>
      <c r="H314" s="10"/>
    </row>
    <row r="315" spans="1:8" x14ac:dyDescent="0.25">
      <c r="A315" s="2">
        <v>53483</v>
      </c>
      <c r="B315" s="130">
        <v>0.58600751926572303</v>
      </c>
      <c r="C315" s="130">
        <f>INDEX(Main!$F$2:$F$324,MATCH(A315,Main!$D$2:$D$324,1)+1)</f>
        <v>0.60109372893241486</v>
      </c>
      <c r="E315" s="11"/>
      <c r="F315" s="10"/>
      <c r="G315" s="10"/>
      <c r="H315" s="10"/>
    </row>
    <row r="316" spans="1:8" x14ac:dyDescent="0.25">
      <c r="A316" s="2">
        <v>53514</v>
      </c>
      <c r="B316" s="130">
        <v>0.586012288000759</v>
      </c>
      <c r="C316" s="130">
        <f>INDEX(Main!$F$2:$F$324,MATCH(A316,Main!$D$2:$D$324,1)+1)</f>
        <v>0.60109372893241486</v>
      </c>
      <c r="E316" s="11"/>
      <c r="F316" s="10"/>
      <c r="G316" s="10"/>
      <c r="H316" s="10"/>
    </row>
    <row r="317" spans="1:8" x14ac:dyDescent="0.25">
      <c r="A317" s="2">
        <v>53543</v>
      </c>
      <c r="B317" s="130">
        <v>0.58600751926572303</v>
      </c>
      <c r="C317" s="130">
        <f>INDEX(Main!$F$2:$F$324,MATCH(A317,Main!$D$2:$D$324,1)+1)</f>
        <v>0.60109372893241486</v>
      </c>
      <c r="E317" s="11"/>
      <c r="F317" s="10"/>
      <c r="G317" s="10"/>
      <c r="H317" s="10"/>
    </row>
    <row r="318" spans="1:8" x14ac:dyDescent="0.25">
      <c r="A318" s="2">
        <v>53574</v>
      </c>
      <c r="B318" s="130">
        <v>0.58600275058227103</v>
      </c>
      <c r="C318" s="130">
        <f>INDEX(Main!$F$2:$F$324,MATCH(A318,Main!$D$2:$D$324,1)+1)</f>
        <v>0.60109372893241486</v>
      </c>
      <c r="E318" s="11"/>
      <c r="F318" s="10"/>
      <c r="G318" s="10"/>
      <c r="H318" s="10"/>
    </row>
    <row r="319" spans="1:8" x14ac:dyDescent="0.25">
      <c r="A319" s="2">
        <v>53605</v>
      </c>
      <c r="B319" s="130">
        <v>0.58601228800100902</v>
      </c>
      <c r="C319" s="130">
        <f>INDEX(Main!$F$2:$F$324,MATCH(A319,Main!$D$2:$D$324,1)+1)</f>
        <v>0.60109372893241486</v>
      </c>
      <c r="E319" s="11"/>
      <c r="F319" s="10"/>
      <c r="G319" s="10"/>
      <c r="H319" s="10"/>
    </row>
    <row r="320" spans="1:8" x14ac:dyDescent="0.25">
      <c r="A320" s="2">
        <v>53635</v>
      </c>
      <c r="B320" s="130">
        <v>0.58600275058253704</v>
      </c>
      <c r="C320" s="130">
        <f>INDEX(Main!$F$2:$F$324,MATCH(A320,Main!$D$2:$D$324,1)+1)</f>
        <v>0.60109372893241486</v>
      </c>
      <c r="E320" s="11"/>
      <c r="F320" s="10"/>
      <c r="G320" s="10"/>
      <c r="H320" s="10"/>
    </row>
    <row r="321" spans="1:8" x14ac:dyDescent="0.25">
      <c r="A321" s="2">
        <v>53665</v>
      </c>
      <c r="B321" s="130">
        <v>0.58600751926572303</v>
      </c>
      <c r="C321" s="130">
        <f>INDEX(Main!$F$2:$F$324,MATCH(A321,Main!$D$2:$D$324,1)+1)</f>
        <v>0.60109372893241486</v>
      </c>
      <c r="E321" s="11"/>
      <c r="F321" s="10"/>
      <c r="G321" s="10"/>
      <c r="H321" s="10"/>
    </row>
    <row r="322" spans="1:8" x14ac:dyDescent="0.25">
      <c r="A322" s="2">
        <v>53696</v>
      </c>
      <c r="B322" s="130">
        <v>0.58600751926572303</v>
      </c>
      <c r="C322" s="130">
        <f>INDEX(Main!$F$2:$F$324,MATCH(A322,Main!$D$2:$D$324,1)+1)</f>
        <v>0.60109372893241486</v>
      </c>
      <c r="E322" s="11"/>
      <c r="F322" s="10"/>
      <c r="G322" s="10"/>
      <c r="H322" s="10"/>
    </row>
    <row r="323" spans="1:8" x14ac:dyDescent="0.25">
      <c r="A323" s="2">
        <v>53727</v>
      </c>
      <c r="B323" s="130">
        <v>0.58599321337081201</v>
      </c>
      <c r="C323" s="130">
        <f>INDEX(Main!$F$2:$F$324,MATCH(A323,Main!$D$2:$D$324,1)+1)</f>
        <v>0.60109372893241486</v>
      </c>
      <c r="E323" s="11"/>
      <c r="F323" s="10"/>
      <c r="G323" s="10"/>
      <c r="H323" s="10"/>
    </row>
    <row r="324" spans="1:8" x14ac:dyDescent="0.25">
      <c r="A324" s="2">
        <v>53755</v>
      </c>
      <c r="B324" s="130">
        <v>0.58600751926546502</v>
      </c>
      <c r="C324" s="130">
        <f>INDEX(Main!$F$2:$F$324,MATCH(A324,Main!$D$2:$D$324,1)+1)</f>
        <v>0.60109372893241486</v>
      </c>
      <c r="E324" s="11"/>
      <c r="F324" s="10"/>
      <c r="G324" s="10"/>
      <c r="H324" s="10"/>
    </row>
    <row r="325" spans="1:8" x14ac:dyDescent="0.25">
      <c r="A325" s="2">
        <v>53788</v>
      </c>
      <c r="B325" s="130">
        <v>0.58601228800100902</v>
      </c>
      <c r="C325" s="130">
        <f>INDEX(Main!$F$2:$F$324,MATCH(A325,Main!$D$2:$D$324,1)+1)</f>
        <v>0.60109372893241486</v>
      </c>
      <c r="E325" s="11"/>
      <c r="F325" s="10"/>
      <c r="G325" s="10"/>
      <c r="H325" s="10"/>
    </row>
    <row r="326" spans="1:8" x14ac:dyDescent="0.25">
      <c r="A326" s="2">
        <v>53816</v>
      </c>
      <c r="B326" s="130">
        <v>0.58600751926546502</v>
      </c>
      <c r="C326" s="130">
        <f>INDEX(Main!$F$2:$F$324,MATCH(A326,Main!$D$2:$D$324,1)+1)</f>
        <v>0.60109372893241486</v>
      </c>
      <c r="E326" s="11"/>
      <c r="F326" s="10"/>
      <c r="G326" s="10"/>
      <c r="H326" s="10"/>
    </row>
    <row r="327" spans="1:8" x14ac:dyDescent="0.25">
      <c r="A327" s="2">
        <v>53848</v>
      </c>
      <c r="B327" s="130">
        <v>0.58600751926598105</v>
      </c>
      <c r="C327" s="130">
        <f>INDEX(Main!$F$2:$F$324,MATCH(A327,Main!$D$2:$D$324,1)+1)</f>
        <v>0.60109372893241486</v>
      </c>
      <c r="E327" s="11"/>
      <c r="F327" s="10"/>
      <c r="G327" s="10"/>
      <c r="H327" s="10"/>
    </row>
    <row r="328" spans="1:8" x14ac:dyDescent="0.25">
      <c r="A328" s="2">
        <v>53878</v>
      </c>
      <c r="B328" s="130">
        <v>0.58600751926572303</v>
      </c>
      <c r="C328" s="130">
        <f>INDEX(Main!$F$2:$F$324,MATCH(A328,Main!$D$2:$D$324,1)+1)</f>
        <v>0.60109372893241486</v>
      </c>
      <c r="E328" s="11"/>
      <c r="F328" s="10"/>
      <c r="G328" s="10"/>
      <c r="H328" s="10"/>
    </row>
    <row r="329" spans="1:8" x14ac:dyDescent="0.25">
      <c r="A329" s="2">
        <v>53908</v>
      </c>
      <c r="B329" s="130">
        <v>0.58600751926572303</v>
      </c>
      <c r="C329" s="130">
        <f>INDEX(Main!$F$2:$F$324,MATCH(A329,Main!$D$2:$D$324,1)+1)</f>
        <v>0.60109372893241486</v>
      </c>
      <c r="E329" s="11"/>
      <c r="F329" s="10"/>
      <c r="G329" s="10"/>
      <c r="H329" s="10"/>
    </row>
    <row r="330" spans="1:8" x14ac:dyDescent="0.25">
      <c r="A330" s="2">
        <v>53939</v>
      </c>
      <c r="B330" s="130">
        <v>0.58600275058227103</v>
      </c>
      <c r="C330" s="130">
        <f>INDEX(Main!$F$2:$F$324,MATCH(A330,Main!$D$2:$D$324,1)+1)</f>
        <v>0.60109372893241486</v>
      </c>
      <c r="E330" s="11"/>
      <c r="F330" s="10"/>
      <c r="G330" s="10"/>
      <c r="H330" s="10"/>
    </row>
    <row r="331" spans="1:8" x14ac:dyDescent="0.25">
      <c r="A331" s="2">
        <v>53969</v>
      </c>
      <c r="B331" s="130">
        <v>0.58600751926598105</v>
      </c>
      <c r="C331" s="130">
        <f>INDEX(Main!$F$2:$F$324,MATCH(A331,Main!$D$2:$D$324,1)+1)</f>
        <v>0.60109372893241486</v>
      </c>
      <c r="E331" s="11"/>
      <c r="F331" s="10"/>
      <c r="G331" s="10"/>
      <c r="H331" s="10"/>
    </row>
    <row r="332" spans="1:8" x14ac:dyDescent="0.25">
      <c r="A332" s="2">
        <v>54000</v>
      </c>
      <c r="B332" s="130">
        <v>0.58600275058227103</v>
      </c>
      <c r="C332" s="130">
        <f>INDEX(Main!$F$2:$F$324,MATCH(A332,Main!$D$2:$D$324,1)+1)</f>
        <v>0.60109372893241486</v>
      </c>
      <c r="E332" s="11"/>
      <c r="F332" s="10"/>
      <c r="G332" s="10"/>
      <c r="H332" s="10"/>
    </row>
    <row r="333" spans="1:8" x14ac:dyDescent="0.25">
      <c r="A333" s="2">
        <v>54032</v>
      </c>
      <c r="B333" s="130">
        <v>0.58601705678753402</v>
      </c>
      <c r="C333" s="130">
        <f>INDEX(Main!$F$2:$F$324,MATCH(A333,Main!$D$2:$D$324,1)+1)</f>
        <v>0.60109372893241486</v>
      </c>
      <c r="E333" s="11"/>
      <c r="F333" s="10"/>
      <c r="G333" s="10"/>
      <c r="H333" s="10"/>
    </row>
    <row r="334" spans="1:8" x14ac:dyDescent="0.25">
      <c r="A334" s="2">
        <v>54061</v>
      </c>
      <c r="B334" s="130">
        <v>0.58600751926572303</v>
      </c>
      <c r="C334" s="130">
        <f>INDEX(Main!$F$2:$F$324,MATCH(A334,Main!$D$2:$D$324,1)+1)</f>
        <v>0.60109372893241486</v>
      </c>
      <c r="E334" s="11"/>
      <c r="F334" s="10"/>
      <c r="G334" s="10"/>
      <c r="H334" s="10"/>
    </row>
    <row r="335" spans="1:8" x14ac:dyDescent="0.25">
      <c r="A335" s="2">
        <v>54092</v>
      </c>
      <c r="B335" s="130">
        <v>0.58599798195077601</v>
      </c>
      <c r="C335" s="130">
        <f>INDEX(Main!$F$2:$F$324,MATCH(A335,Main!$D$2:$D$324,1)+1)</f>
        <v>0.60109372893241486</v>
      </c>
      <c r="E335" s="11"/>
      <c r="F335" s="10"/>
      <c r="G335" s="10"/>
      <c r="H335" s="10"/>
    </row>
    <row r="336" spans="1:8" x14ac:dyDescent="0.25">
      <c r="A336" s="2">
        <v>54123</v>
      </c>
      <c r="B336" s="130">
        <v>0.58601705678753402</v>
      </c>
      <c r="C336" s="130">
        <f>INDEX(Main!$F$2:$F$324,MATCH(A336,Main!$D$2:$D$324,1)+1)</f>
        <v>0.60109372893241486</v>
      </c>
      <c r="E336" s="11"/>
      <c r="F336" s="10"/>
      <c r="G336" s="10"/>
      <c r="H336" s="10"/>
    </row>
    <row r="337" spans="1:8" x14ac:dyDescent="0.25">
      <c r="A337" s="2">
        <v>54152</v>
      </c>
      <c r="B337" s="130">
        <v>0.58600275058253704</v>
      </c>
      <c r="C337" s="130">
        <f>INDEX(Main!$F$2:$F$324,MATCH(A337,Main!$D$2:$D$324,1)+1)</f>
        <v>0.60109372893241486</v>
      </c>
      <c r="E337" s="11"/>
      <c r="F337" s="10"/>
      <c r="G337" s="10"/>
      <c r="H337" s="10"/>
    </row>
    <row r="338" spans="1:8" x14ac:dyDescent="0.25">
      <c r="A338" s="2">
        <v>54182</v>
      </c>
      <c r="B338" s="130">
        <v>0.58600751926546502</v>
      </c>
      <c r="C338" s="130">
        <f>INDEX(Main!$F$2:$F$324,MATCH(A338,Main!$D$2:$D$324,1)+1)</f>
        <v>0.60109372893241486</v>
      </c>
      <c r="E338" s="11"/>
      <c r="F338" s="10"/>
      <c r="G338" s="10"/>
      <c r="H338" s="10"/>
    </row>
    <row r="339" spans="1:8" x14ac:dyDescent="0.25">
      <c r="A339" s="2">
        <v>54215</v>
      </c>
      <c r="B339" s="130">
        <v>0.58601228800100902</v>
      </c>
      <c r="C339" s="130">
        <f>INDEX(Main!$F$2:$F$324,MATCH(A339,Main!$D$2:$D$324,1)+1)</f>
        <v>0.60109372893241486</v>
      </c>
      <c r="E339" s="11"/>
      <c r="F339" s="10"/>
      <c r="G339" s="10"/>
      <c r="H339" s="10"/>
    </row>
    <row r="340" spans="1:8" x14ac:dyDescent="0.25">
      <c r="A340" s="2">
        <v>54243</v>
      </c>
      <c r="B340" s="130">
        <v>0.58600751926572303</v>
      </c>
      <c r="C340" s="130">
        <f>INDEX(Main!$F$2:$F$324,MATCH(A340,Main!$D$2:$D$324,1)+1)</f>
        <v>0.60109372893241486</v>
      </c>
      <c r="E340" s="11"/>
      <c r="F340" s="10"/>
      <c r="G340" s="10"/>
      <c r="H340" s="10"/>
    </row>
    <row r="341" spans="1:8" x14ac:dyDescent="0.25">
      <c r="A341" s="2">
        <v>54274</v>
      </c>
      <c r="B341" s="130">
        <v>0.58600751926572303</v>
      </c>
      <c r="C341" s="130">
        <f>INDEX(Main!$F$2:$F$324,MATCH(A341,Main!$D$2:$D$324,1)+1)</f>
        <v>0.60109372893241486</v>
      </c>
      <c r="E341" s="11"/>
      <c r="F341" s="10"/>
      <c r="G341" s="10"/>
      <c r="H341" s="10"/>
    </row>
    <row r="342" spans="1:8" x14ac:dyDescent="0.25">
      <c r="A342" s="2">
        <v>54306</v>
      </c>
      <c r="B342" s="130">
        <v>0.58600751926546502</v>
      </c>
      <c r="C342" s="130">
        <f>INDEX(Main!$F$2:$F$324,MATCH(A342,Main!$D$2:$D$324,1)+1)</f>
        <v>0.60109372893241486</v>
      </c>
      <c r="E342" s="11"/>
      <c r="F342" s="10"/>
      <c r="G342" s="10"/>
      <c r="H342" s="10"/>
    </row>
    <row r="343" spans="1:8" x14ac:dyDescent="0.25">
      <c r="A343" s="2">
        <v>54335</v>
      </c>
      <c r="B343" s="130">
        <v>0.58600751926572303</v>
      </c>
      <c r="C343" s="130">
        <f>INDEX(Main!$F$2:$F$324,MATCH(A343,Main!$D$2:$D$324,1)+1)</f>
        <v>0.60109372893241486</v>
      </c>
      <c r="E343" s="11"/>
      <c r="F343" s="10"/>
      <c r="G343" s="10"/>
      <c r="H343" s="10"/>
    </row>
    <row r="344" spans="1:8" x14ac:dyDescent="0.25">
      <c r="A344" s="2">
        <v>54366</v>
      </c>
      <c r="B344" s="130">
        <v>0.58600275058227103</v>
      </c>
      <c r="C344" s="130">
        <f>INDEX(Main!$F$2:$F$324,MATCH(A344,Main!$D$2:$D$324,1)+1)</f>
        <v>0.60109372893241486</v>
      </c>
      <c r="E344" s="11"/>
      <c r="F344" s="10"/>
      <c r="G344" s="10"/>
      <c r="H344" s="10"/>
    </row>
    <row r="345" spans="1:8" x14ac:dyDescent="0.25">
      <c r="A345" s="2">
        <v>54396</v>
      </c>
      <c r="B345" s="130">
        <v>0.58600751926572303</v>
      </c>
      <c r="C345" s="130">
        <f>INDEX(Main!$F$2:$F$324,MATCH(A345,Main!$D$2:$D$324,1)+1)</f>
        <v>0.60109372893241486</v>
      </c>
      <c r="E345" s="11"/>
      <c r="F345" s="10"/>
      <c r="G345" s="10"/>
      <c r="H345" s="10"/>
    </row>
    <row r="346" spans="1:8" x14ac:dyDescent="0.25">
      <c r="A346" s="2">
        <v>54427</v>
      </c>
      <c r="B346" s="130">
        <v>0.58600751926546502</v>
      </c>
      <c r="C346" s="130">
        <f>INDEX(Main!$F$2:$F$324,MATCH(A346,Main!$D$2:$D$324,1)+1)</f>
        <v>0.60109372893241486</v>
      </c>
      <c r="E346" s="11"/>
      <c r="F346" s="10"/>
      <c r="G346" s="10"/>
      <c r="H346" s="10"/>
    </row>
    <row r="347" spans="1:8" x14ac:dyDescent="0.25">
      <c r="A347" s="2">
        <v>54458</v>
      </c>
      <c r="B347" s="130">
        <v>0.58599321337081201</v>
      </c>
      <c r="C347" s="130">
        <f>INDEX(Main!$F$2:$F$324,MATCH(A347,Main!$D$2:$D$324,1)+1)</f>
        <v>0.60109372893241486</v>
      </c>
      <c r="E347" s="11"/>
      <c r="F347" s="10"/>
      <c r="G347" s="10"/>
      <c r="H347" s="10"/>
    </row>
    <row r="348" spans="1:8" x14ac:dyDescent="0.25">
      <c r="A348" s="2">
        <v>54487</v>
      </c>
      <c r="B348" s="130">
        <v>0.586012288000759</v>
      </c>
      <c r="C348" s="130">
        <f>INDEX(Main!$F$2:$F$324,MATCH(A348,Main!$D$2:$D$324,1)+1)</f>
        <v>0.60109372893241486</v>
      </c>
      <c r="E348" s="11"/>
      <c r="F348" s="10"/>
      <c r="G348" s="10"/>
      <c r="H348" s="10"/>
    </row>
    <row r="349" spans="1:8" x14ac:dyDescent="0.25">
      <c r="A349" s="2">
        <v>54517</v>
      </c>
      <c r="B349" s="130">
        <v>0.58600275058253704</v>
      </c>
      <c r="C349" s="130">
        <f>INDEX(Main!$F$2:$F$324,MATCH(A349,Main!$D$2:$D$324,1)+1)</f>
        <v>0.60109372893241486</v>
      </c>
      <c r="E349" s="11"/>
      <c r="F349" s="10"/>
      <c r="G349" s="10"/>
      <c r="H349" s="10"/>
    </row>
    <row r="350" spans="1:8" x14ac:dyDescent="0.25">
      <c r="A350" s="2">
        <v>54547</v>
      </c>
      <c r="B350" s="130">
        <v>0.58600751926546502</v>
      </c>
      <c r="C350" s="130">
        <f>INDEX(Main!$F$2:$F$324,MATCH(A350,Main!$D$2:$D$324,1)+1)</f>
        <v>0.60109372893241486</v>
      </c>
      <c r="E350" s="11"/>
      <c r="F350" s="10"/>
      <c r="G350" s="10"/>
      <c r="H350" s="10"/>
    </row>
    <row r="351" spans="1:8" x14ac:dyDescent="0.25">
      <c r="A351" s="2">
        <v>54580</v>
      </c>
      <c r="B351" s="130">
        <v>0.58601228800100902</v>
      </c>
      <c r="C351" s="130">
        <f>INDEX(Main!$F$2:$F$324,MATCH(A351,Main!$D$2:$D$324,1)+1)</f>
        <v>0.60109372893241486</v>
      </c>
      <c r="E351" s="11"/>
      <c r="F351" s="10"/>
      <c r="G351" s="10"/>
      <c r="H351" s="10"/>
    </row>
    <row r="352" spans="1:8" x14ac:dyDescent="0.25">
      <c r="A352" s="2">
        <v>54608</v>
      </c>
      <c r="B352" s="130">
        <v>0.58600751926572303</v>
      </c>
      <c r="C352" s="130">
        <f>INDEX(Main!$F$2:$F$324,MATCH(A352,Main!$D$2:$D$324,1)+1)</f>
        <v>0.60109372893241486</v>
      </c>
      <c r="E352" s="11"/>
      <c r="F352" s="10"/>
      <c r="G352" s="10"/>
      <c r="H352" s="10"/>
    </row>
    <row r="353" spans="1:8" x14ac:dyDescent="0.25">
      <c r="A353" s="2">
        <v>54642</v>
      </c>
      <c r="B353" s="130">
        <v>0.58602182562618399</v>
      </c>
      <c r="C353" s="130">
        <f>INDEX(Main!$F$2:$F$324,MATCH(A353,Main!$D$2:$D$324,1)+1)</f>
        <v>0.60109372893241486</v>
      </c>
      <c r="E353" s="11"/>
      <c r="F353" s="10"/>
      <c r="G353" s="10"/>
      <c r="H353" s="10"/>
    </row>
    <row r="354" spans="1:8" x14ac:dyDescent="0.25">
      <c r="A354" s="2">
        <v>54670</v>
      </c>
      <c r="B354" s="130">
        <v>0.58600275058253704</v>
      </c>
      <c r="C354" s="130">
        <f>INDEX(Main!$F$2:$F$324,MATCH(A354,Main!$D$2:$D$324,1)+1)</f>
        <v>0.60109372893241486</v>
      </c>
      <c r="E354" s="11"/>
      <c r="F354" s="10"/>
      <c r="G354" s="10"/>
      <c r="H354" s="10"/>
    </row>
    <row r="355" spans="1:8" x14ac:dyDescent="0.25">
      <c r="A355" s="2">
        <v>54700</v>
      </c>
      <c r="B355" s="130">
        <v>0.58600751926572303</v>
      </c>
      <c r="C355" s="130">
        <f>INDEX(Main!$F$2:$F$324,MATCH(A355,Main!$D$2:$D$324,1)+1)</f>
        <v>0.60109372893241486</v>
      </c>
      <c r="E355" s="11"/>
      <c r="F355" s="10"/>
      <c r="G355" s="10"/>
      <c r="H355" s="10"/>
    </row>
    <row r="356" spans="1:8" x14ac:dyDescent="0.25">
      <c r="A356" s="2">
        <v>54733</v>
      </c>
      <c r="B356" s="130">
        <v>0.58601228800100902</v>
      </c>
      <c r="C356" s="130">
        <f>INDEX(Main!$F$2:$F$324,MATCH(A356,Main!$D$2:$D$324,1)+1)</f>
        <v>0.60109372893241486</v>
      </c>
      <c r="E356" s="11"/>
      <c r="F356" s="10"/>
      <c r="G356" s="10"/>
      <c r="H356" s="10"/>
    </row>
    <row r="357" spans="1:8" x14ac:dyDescent="0.25">
      <c r="A357" s="2">
        <v>54761</v>
      </c>
      <c r="B357" s="130">
        <v>0.58600751926546502</v>
      </c>
      <c r="C357" s="130">
        <f>INDEX(Main!$F$2:$F$324,MATCH(A357,Main!$D$2:$D$324,1)+1)</f>
        <v>0.60109372893241486</v>
      </c>
      <c r="E357" s="11"/>
      <c r="F357" s="10"/>
      <c r="G357" s="10"/>
      <c r="H357" s="10"/>
    </row>
    <row r="358" spans="1:8" x14ac:dyDescent="0.25">
      <c r="A358" s="2">
        <v>54792</v>
      </c>
      <c r="B358" s="130">
        <v>0.58600751926572303</v>
      </c>
      <c r="C358" s="130">
        <f>INDEX(Main!$F$2:$F$324,MATCH(A358,Main!$D$2:$D$324,1)+1)</f>
        <v>0.60109372893241486</v>
      </c>
      <c r="E358" s="11"/>
      <c r="F358" s="10"/>
      <c r="G358" s="10"/>
      <c r="H358" s="10"/>
    </row>
    <row r="359" spans="1:8" x14ac:dyDescent="0.25">
      <c r="A359" s="2">
        <v>54823</v>
      </c>
      <c r="B359" s="130">
        <v>0.58599321337081201</v>
      </c>
      <c r="C359" s="130">
        <f>INDEX(Main!$F$2:$F$324,MATCH(A359,Main!$D$2:$D$324,1)+1)</f>
        <v>0.60109372893241486</v>
      </c>
      <c r="E359" s="11"/>
      <c r="F359" s="10"/>
      <c r="G359" s="10"/>
      <c r="H359" s="10"/>
    </row>
    <row r="360" spans="1:8" x14ac:dyDescent="0.25">
      <c r="A360" s="2">
        <v>54851</v>
      </c>
      <c r="B360" s="130">
        <v>0.58600751926572303</v>
      </c>
      <c r="C360" s="130">
        <f>INDEX(Main!$F$2:$F$324,MATCH(A360,Main!$D$2:$D$324,1)+1)</f>
        <v>0.60109372893241486</v>
      </c>
      <c r="E360" s="11"/>
      <c r="F360" s="10"/>
      <c r="G360" s="10"/>
      <c r="H360" s="10"/>
    </row>
    <row r="361" spans="1:8" x14ac:dyDescent="0.25">
      <c r="A361" s="2">
        <v>54882</v>
      </c>
      <c r="B361" s="130">
        <v>0.58600275058253704</v>
      </c>
      <c r="C361" s="130">
        <f>INDEX(Main!$F$2:$F$324,MATCH(A361,Main!$D$2:$D$324,1)+1)</f>
        <v>0.60109372893241486</v>
      </c>
      <c r="E361" s="11"/>
      <c r="F361" s="10"/>
      <c r="G361" s="10"/>
      <c r="H361" s="10"/>
    </row>
    <row r="362" spans="1:8" x14ac:dyDescent="0.25">
      <c r="A362" s="2">
        <v>54914</v>
      </c>
      <c r="B362" s="130">
        <v>0.395330843936473</v>
      </c>
      <c r="C362" s="130">
        <f>INDEX(Main!$F$2:$F$324,MATCH(A362,Main!$D$2:$D$324,1)+1)</f>
        <v>0.36849661531754552</v>
      </c>
      <c r="E362" s="11"/>
      <c r="F362" s="10"/>
      <c r="G362" s="10"/>
      <c r="H362" s="10"/>
    </row>
    <row r="363" spans="1:8" x14ac:dyDescent="0.25">
      <c r="A363" s="2">
        <v>54944</v>
      </c>
      <c r="B363" s="130">
        <v>0.38302353942878398</v>
      </c>
      <c r="C363" s="130">
        <f>INDEX(Main!$F$2:$F$324,MATCH(A363,Main!$D$2:$D$324,1)+1)</f>
        <v>0.36849661531754552</v>
      </c>
      <c r="E363" s="11"/>
      <c r="F363" s="10"/>
      <c r="G363" s="10"/>
      <c r="H363" s="10"/>
    </row>
    <row r="364" spans="1:8" x14ac:dyDescent="0.25">
      <c r="A364" s="2">
        <v>54973</v>
      </c>
      <c r="B364" s="130">
        <v>0.38302557681660798</v>
      </c>
      <c r="C364" s="130">
        <f>INDEX(Main!$F$2:$F$324,MATCH(A364,Main!$D$2:$D$324,1)+1)</f>
        <v>0.36849661531754552</v>
      </c>
      <c r="E364" s="11"/>
      <c r="F364" s="10"/>
      <c r="G364" s="10"/>
      <c r="H364" s="10"/>
    </row>
    <row r="365" spans="1:8" x14ac:dyDescent="0.25">
      <c r="A365" s="2">
        <v>55006</v>
      </c>
      <c r="B365" s="130">
        <v>0.38302965163654201</v>
      </c>
      <c r="C365" s="130">
        <f>INDEX(Main!$F$2:$F$324,MATCH(A365,Main!$D$2:$D$324,1)+1)</f>
        <v>0.36849661531754552</v>
      </c>
      <c r="E365" s="11"/>
      <c r="F365" s="10"/>
      <c r="G365" s="10"/>
      <c r="H365" s="10"/>
    </row>
    <row r="366" spans="1:8" x14ac:dyDescent="0.25">
      <c r="A366" s="2">
        <v>55035</v>
      </c>
      <c r="B366" s="130">
        <v>0.38302353942851702</v>
      </c>
      <c r="C366" s="130">
        <f>INDEX(Main!$F$2:$F$324,MATCH(A366,Main!$D$2:$D$324,1)+1)</f>
        <v>0.36849661531754552</v>
      </c>
      <c r="E366" s="11"/>
      <c r="F366" s="10"/>
      <c r="G366" s="10"/>
      <c r="H366" s="10"/>
    </row>
    <row r="367" spans="1:8" x14ac:dyDescent="0.25">
      <c r="A367" s="2">
        <v>55065</v>
      </c>
      <c r="B367" s="130">
        <v>0.38302557681660798</v>
      </c>
      <c r="C367" s="130">
        <f>INDEX(Main!$F$2:$F$324,MATCH(A367,Main!$D$2:$D$324,1)+1)</f>
        <v>0.36849661531754552</v>
      </c>
      <c r="E367" s="11"/>
      <c r="F367" s="10"/>
      <c r="G367" s="10"/>
      <c r="H367" s="10"/>
    </row>
    <row r="368" spans="1:8" x14ac:dyDescent="0.25">
      <c r="A368" s="2">
        <v>55097</v>
      </c>
      <c r="B368" s="130">
        <v>0.383025576816866</v>
      </c>
      <c r="C368" s="130">
        <f>INDEX(Main!$F$2:$F$324,MATCH(A368,Main!$D$2:$D$324,1)+1)</f>
        <v>0.36849661531754552</v>
      </c>
      <c r="E368" s="11"/>
      <c r="F368" s="10"/>
      <c r="G368" s="10"/>
      <c r="H368" s="10"/>
    </row>
    <row r="369" spans="1:8" x14ac:dyDescent="0.25">
      <c r="A369" s="2">
        <v>55126</v>
      </c>
      <c r="B369" s="130">
        <v>0.383025576816866</v>
      </c>
      <c r="C369" s="130">
        <f>INDEX(Main!$F$2:$F$324,MATCH(A369,Main!$D$2:$D$324,1)+1)</f>
        <v>0.36849661531754552</v>
      </c>
      <c r="E369" s="11"/>
      <c r="F369" s="10"/>
      <c r="G369" s="10"/>
      <c r="H369" s="10"/>
    </row>
    <row r="370" spans="1:8" x14ac:dyDescent="0.25">
      <c r="A370" s="2">
        <v>55159</v>
      </c>
      <c r="B370" s="130">
        <v>0.38302965163654201</v>
      </c>
      <c r="C370" s="130">
        <f>INDEX(Main!$F$2:$F$324,MATCH(A370,Main!$D$2:$D$324,1)+1)</f>
        <v>0.36849661531754552</v>
      </c>
      <c r="E370" s="11"/>
      <c r="F370" s="10"/>
      <c r="G370" s="10"/>
      <c r="H370" s="10"/>
    </row>
    <row r="371" spans="1:8" x14ac:dyDescent="0.25">
      <c r="A371" s="2">
        <v>55190</v>
      </c>
      <c r="B371" s="130">
        <v>0.38301946469562298</v>
      </c>
      <c r="C371" s="130">
        <f>INDEX(Main!$F$2:$F$324,MATCH(A371,Main!$D$2:$D$324,1)+1)</f>
        <v>0.36849661531754552</v>
      </c>
      <c r="E371" s="11"/>
      <c r="F371" s="10"/>
      <c r="G371" s="10"/>
      <c r="H371" s="10"/>
    </row>
    <row r="372" spans="1:8" x14ac:dyDescent="0.25">
      <c r="A372" s="2">
        <v>55216</v>
      </c>
      <c r="B372" s="130">
        <v>0.38302557681660798</v>
      </c>
      <c r="C372" s="130">
        <f>INDEX(Main!$F$2:$F$324,MATCH(A372,Main!$D$2:$D$324,1)+1)</f>
        <v>0.36849661531754552</v>
      </c>
      <c r="E372" s="11"/>
      <c r="F372" s="10"/>
      <c r="G372" s="10"/>
      <c r="H372" s="10"/>
    </row>
    <row r="373" spans="1:8" x14ac:dyDescent="0.25">
      <c r="A373" s="2">
        <v>55247</v>
      </c>
      <c r="B373" s="130">
        <v>0.38302353942851702</v>
      </c>
      <c r="C373" s="130">
        <f>INDEX(Main!$F$2:$F$324,MATCH(A373,Main!$D$2:$D$324,1)+1)</f>
        <v>0.36849661531754552</v>
      </c>
      <c r="E373" s="11"/>
      <c r="F373" s="10"/>
      <c r="G373" s="10"/>
      <c r="H373" s="10"/>
    </row>
    <row r="374" spans="1:8" x14ac:dyDescent="0.25">
      <c r="A374" s="2">
        <v>55278</v>
      </c>
      <c r="B374" s="130">
        <v>0.38302761421957199</v>
      </c>
      <c r="C374" s="130">
        <f>INDEX(Main!$F$2:$F$324,MATCH(A374,Main!$D$2:$D$324,1)+1)</f>
        <v>0.36849661531754552</v>
      </c>
      <c r="E374" s="11"/>
      <c r="F374" s="10"/>
      <c r="G374" s="10"/>
      <c r="H374" s="10"/>
    </row>
    <row r="375" spans="1:8" x14ac:dyDescent="0.25">
      <c r="A375" s="2">
        <v>55309</v>
      </c>
      <c r="B375" s="130">
        <v>0.38302353942851702</v>
      </c>
      <c r="C375" s="130">
        <f>INDEX(Main!$F$2:$F$324,MATCH(A375,Main!$D$2:$D$324,1)+1)</f>
        <v>0.36849661531754552</v>
      </c>
      <c r="E375" s="11"/>
      <c r="F375" s="10"/>
      <c r="G375" s="10"/>
      <c r="H375" s="10"/>
    </row>
    <row r="376" spans="1:8" x14ac:dyDescent="0.25">
      <c r="A376" s="2">
        <v>55338</v>
      </c>
      <c r="B376" s="130">
        <v>0.38302965163654201</v>
      </c>
      <c r="C376" s="130">
        <f>INDEX(Main!$F$2:$F$324,MATCH(A376,Main!$D$2:$D$324,1)+1)</f>
        <v>0.36849661531754552</v>
      </c>
      <c r="E376" s="11"/>
      <c r="F376" s="10"/>
      <c r="G376" s="10"/>
      <c r="H376" s="10"/>
    </row>
    <row r="377" spans="1:8" x14ac:dyDescent="0.25">
      <c r="A377" s="2">
        <v>55370</v>
      </c>
      <c r="B377" s="130">
        <v>0.38302761421932202</v>
      </c>
      <c r="C377" s="130">
        <f>INDEX(Main!$F$2:$F$324,MATCH(A377,Main!$D$2:$D$324,1)+1)</f>
        <v>0.36849661531754552</v>
      </c>
      <c r="E377" s="11"/>
      <c r="F377" s="10"/>
      <c r="G377" s="10"/>
      <c r="H377" s="10"/>
    </row>
    <row r="378" spans="1:8" x14ac:dyDescent="0.25">
      <c r="A378" s="2">
        <v>55400</v>
      </c>
      <c r="B378" s="130">
        <v>0.38302353942878398</v>
      </c>
      <c r="C378" s="130">
        <f>INDEX(Main!$F$2:$F$324,MATCH(A378,Main!$D$2:$D$324,1)+1)</f>
        <v>0.36849661531754552</v>
      </c>
      <c r="E378" s="11"/>
      <c r="F378" s="10"/>
      <c r="G378" s="10"/>
      <c r="H378" s="10"/>
    </row>
    <row r="379" spans="1:8" x14ac:dyDescent="0.25">
      <c r="A379" s="2">
        <v>55432</v>
      </c>
      <c r="B379" s="130">
        <v>0.38302965163654201</v>
      </c>
      <c r="C379" s="130">
        <f>INDEX(Main!$F$2:$F$324,MATCH(A379,Main!$D$2:$D$324,1)+1)</f>
        <v>0.36849661531754552</v>
      </c>
      <c r="E379" s="11"/>
      <c r="F379" s="10"/>
      <c r="G379" s="10"/>
      <c r="H379" s="10"/>
    </row>
    <row r="380" spans="1:8" x14ac:dyDescent="0.25">
      <c r="A380" s="2">
        <v>55461</v>
      </c>
      <c r="B380" s="130">
        <v>0.38302353942851702</v>
      </c>
      <c r="C380" s="130">
        <f>INDEX(Main!$F$2:$F$324,MATCH(A380,Main!$D$2:$D$324,1)+1)</f>
        <v>0.36849661531754552</v>
      </c>
      <c r="E380" s="11"/>
      <c r="F380" s="10"/>
      <c r="G380" s="10"/>
      <c r="H380" s="10"/>
    </row>
    <row r="381" spans="1:8" x14ac:dyDescent="0.25">
      <c r="A381" s="2">
        <v>55491</v>
      </c>
      <c r="B381" s="130">
        <v>0.383025576816866</v>
      </c>
      <c r="C381" s="130">
        <f>INDEX(Main!$F$2:$F$324,MATCH(A381,Main!$D$2:$D$324,1)+1)</f>
        <v>0.36849661531754552</v>
      </c>
      <c r="E381" s="11"/>
      <c r="F381" s="10"/>
      <c r="G381" s="10"/>
      <c r="H381" s="10"/>
    </row>
    <row r="382" spans="1:8" x14ac:dyDescent="0.25">
      <c r="A382" s="2">
        <v>55523</v>
      </c>
      <c r="B382" s="130">
        <v>0.38302761421932202</v>
      </c>
      <c r="C382" s="130">
        <f>INDEX(Main!$F$2:$F$324,MATCH(A382,Main!$D$2:$D$324,1)+1)</f>
        <v>0.36849661531754552</v>
      </c>
      <c r="E382" s="11"/>
      <c r="F382" s="10"/>
      <c r="G382" s="10"/>
      <c r="H382" s="10"/>
    </row>
    <row r="383" spans="1:8" x14ac:dyDescent="0.25">
      <c r="A383" s="2">
        <v>55553</v>
      </c>
      <c r="B383" s="130">
        <v>0.38302150205490998</v>
      </c>
      <c r="C383" s="130">
        <f>INDEX(Main!$F$2:$F$324,MATCH(A383,Main!$D$2:$D$324,1)+1)</f>
        <v>0.36849661531754552</v>
      </c>
      <c r="E383" s="11"/>
      <c r="F383" s="10"/>
      <c r="G383" s="10"/>
      <c r="H383" s="10"/>
    </row>
    <row r="384" spans="1:8" x14ac:dyDescent="0.25">
      <c r="A384" s="2">
        <v>55582</v>
      </c>
      <c r="B384" s="130">
        <v>0.383025576816866</v>
      </c>
      <c r="C384" s="130">
        <f>INDEX(Main!$F$2:$F$324,MATCH(A384,Main!$D$2:$D$324,1)+1)</f>
        <v>0.36849661531754552</v>
      </c>
      <c r="E384" s="11"/>
      <c r="F384" s="10"/>
      <c r="G384" s="10"/>
      <c r="H384" s="10"/>
    </row>
    <row r="385" spans="1:8" x14ac:dyDescent="0.25">
      <c r="A385" s="2">
        <v>55615</v>
      </c>
      <c r="B385" s="130">
        <v>0.38302761421932202</v>
      </c>
      <c r="C385" s="130">
        <f>INDEX(Main!$F$2:$F$324,MATCH(A385,Main!$D$2:$D$324,1)+1)</f>
        <v>0.36849661531754552</v>
      </c>
      <c r="E385" s="11"/>
      <c r="F385" s="10"/>
      <c r="G385" s="10"/>
      <c r="H385" s="10"/>
    </row>
    <row r="386" spans="1:8" x14ac:dyDescent="0.25">
      <c r="A386" s="2">
        <v>55643</v>
      </c>
      <c r="B386" s="130">
        <v>0.383025576816866</v>
      </c>
      <c r="C386" s="130">
        <f>INDEX(Main!$F$2:$F$324,MATCH(A386,Main!$D$2:$D$324,1)+1)</f>
        <v>0.36849661531754552</v>
      </c>
      <c r="E386" s="11"/>
      <c r="F386" s="10"/>
      <c r="G386" s="10"/>
      <c r="H386" s="10"/>
    </row>
    <row r="387" spans="1:8" x14ac:dyDescent="0.25">
      <c r="A387" s="2">
        <v>55675</v>
      </c>
      <c r="B387" s="130">
        <v>0.383025576816866</v>
      </c>
      <c r="C387" s="130">
        <f>INDEX(Main!$F$2:$F$324,MATCH(A387,Main!$D$2:$D$324,1)+1)</f>
        <v>0.36849661531754552</v>
      </c>
      <c r="E387" s="11"/>
      <c r="F387" s="10"/>
      <c r="G387" s="10"/>
      <c r="H387" s="10"/>
    </row>
    <row r="388" spans="1:8" x14ac:dyDescent="0.25">
      <c r="A388" s="2">
        <v>55705</v>
      </c>
      <c r="B388" s="130">
        <v>0.38302557681712401</v>
      </c>
      <c r="C388" s="130">
        <f>INDEX(Main!$F$2:$F$324,MATCH(A388,Main!$D$2:$D$324,1)+1)</f>
        <v>0.36849661531754552</v>
      </c>
      <c r="E388" s="11"/>
      <c r="F388" s="10"/>
      <c r="G388" s="10"/>
      <c r="H388" s="10"/>
    </row>
    <row r="389" spans="1:8" x14ac:dyDescent="0.25">
      <c r="A389" s="2">
        <v>55735</v>
      </c>
      <c r="B389" s="130">
        <v>0.38302557681660798</v>
      </c>
      <c r="C389" s="130">
        <f>INDEX(Main!$F$2:$F$324,MATCH(A389,Main!$D$2:$D$324,1)+1)</f>
        <v>0.36849661531754552</v>
      </c>
      <c r="E389" s="11"/>
      <c r="F389" s="10"/>
      <c r="G389" s="10"/>
      <c r="H389" s="10"/>
    </row>
    <row r="390" spans="1:8" x14ac:dyDescent="0.25">
      <c r="A390" s="2">
        <v>55766</v>
      </c>
      <c r="B390" s="130">
        <v>0.38302353942878398</v>
      </c>
      <c r="C390" s="130">
        <f>INDEX(Main!$F$2:$F$324,MATCH(A390,Main!$D$2:$D$324,1)+1)</f>
        <v>0.36849661531754552</v>
      </c>
      <c r="E390" s="11"/>
      <c r="F390" s="10"/>
      <c r="G390" s="10"/>
      <c r="H390" s="10"/>
    </row>
    <row r="391" spans="1:8" x14ac:dyDescent="0.25">
      <c r="A391" s="2">
        <v>55796</v>
      </c>
      <c r="B391" s="130">
        <v>0.383025576816866</v>
      </c>
      <c r="C391" s="130">
        <f>INDEX(Main!$F$2:$F$324,MATCH(A391,Main!$D$2:$D$324,1)+1)</f>
        <v>0.36849661531754552</v>
      </c>
      <c r="E391" s="11"/>
      <c r="F391" s="10"/>
      <c r="G391" s="10"/>
      <c r="H391" s="10"/>
    </row>
    <row r="392" spans="1:8" x14ac:dyDescent="0.25">
      <c r="A392" s="2">
        <v>55827</v>
      </c>
      <c r="B392" s="130">
        <v>0.38302353942878398</v>
      </c>
      <c r="C392" s="130">
        <f>INDEX(Main!$F$2:$F$324,MATCH(A392,Main!$D$2:$D$324,1)+1)</f>
        <v>0.36849661531754552</v>
      </c>
      <c r="E392" s="11"/>
      <c r="F392" s="10"/>
      <c r="G392" s="10"/>
      <c r="H392" s="10"/>
    </row>
    <row r="393" spans="1:8" x14ac:dyDescent="0.25">
      <c r="A393" s="2">
        <v>55859</v>
      </c>
      <c r="B393" s="130">
        <v>0.38302965163654201</v>
      </c>
      <c r="C393" s="130">
        <f>INDEX(Main!$F$2:$F$324,MATCH(A393,Main!$D$2:$D$324,1)+1)</f>
        <v>0.36849661531754552</v>
      </c>
      <c r="E393" s="11"/>
      <c r="F393" s="10"/>
      <c r="G393" s="10"/>
      <c r="H393" s="10"/>
    </row>
    <row r="394" spans="1:8" x14ac:dyDescent="0.25">
      <c r="A394" s="2">
        <v>55888</v>
      </c>
      <c r="B394" s="130">
        <v>0.383025576816866</v>
      </c>
      <c r="C394" s="130">
        <f>INDEX(Main!$F$2:$F$324,MATCH(A394,Main!$D$2:$D$324,1)+1)</f>
        <v>0.36849661531754552</v>
      </c>
      <c r="E394" s="11"/>
      <c r="F394" s="10"/>
      <c r="G394" s="10"/>
      <c r="H394" s="10"/>
    </row>
    <row r="395" spans="1:8" x14ac:dyDescent="0.25">
      <c r="A395" s="2">
        <v>55919</v>
      </c>
      <c r="B395" s="130">
        <v>0.38301946469562298</v>
      </c>
      <c r="C395" s="130">
        <f>INDEX(Main!$F$2:$F$324,MATCH(A395,Main!$D$2:$D$324,1)+1)</f>
        <v>0.36849661531754552</v>
      </c>
      <c r="E395" s="11"/>
      <c r="F395" s="10"/>
      <c r="G395" s="10"/>
      <c r="H395" s="10"/>
    </row>
    <row r="396" spans="1:8" x14ac:dyDescent="0.25">
      <c r="A396" s="2">
        <v>55947</v>
      </c>
      <c r="B396" s="130">
        <v>0.38302557681660798</v>
      </c>
      <c r="C396" s="130">
        <f>INDEX(Main!$F$2:$F$324,MATCH(A396,Main!$D$2:$D$324,1)+1)</f>
        <v>0.36849661531754552</v>
      </c>
      <c r="E396" s="11"/>
      <c r="F396" s="10"/>
      <c r="G396" s="10"/>
      <c r="H396" s="10"/>
    </row>
    <row r="397" spans="1:8" x14ac:dyDescent="0.25">
      <c r="A397" s="2">
        <v>55979</v>
      </c>
      <c r="B397" s="130">
        <v>0.383025576816866</v>
      </c>
      <c r="C397" s="130">
        <f>INDEX(Main!$F$2:$F$324,MATCH(A397,Main!$D$2:$D$324,1)+1)</f>
        <v>0.36849661531754552</v>
      </c>
      <c r="E397" s="11"/>
      <c r="F397" s="10"/>
      <c r="G397" s="10"/>
      <c r="H397" s="10"/>
    </row>
    <row r="398" spans="1:8" x14ac:dyDescent="0.25">
      <c r="A398" s="2">
        <v>56008</v>
      </c>
      <c r="B398" s="130">
        <v>0.38302557681660798</v>
      </c>
      <c r="C398" s="130">
        <f>INDEX(Main!$F$2:$F$324,MATCH(A398,Main!$D$2:$D$324,1)+1)</f>
        <v>0.36849661531754552</v>
      </c>
      <c r="E398" s="11"/>
      <c r="F398" s="10"/>
      <c r="G398" s="10"/>
      <c r="H398" s="10"/>
    </row>
    <row r="399" spans="1:8" x14ac:dyDescent="0.25">
      <c r="A399" s="2">
        <v>56042</v>
      </c>
      <c r="B399" s="130">
        <v>0.38302965163629998</v>
      </c>
      <c r="C399" s="130">
        <f>INDEX(Main!$F$2:$F$324,MATCH(A399,Main!$D$2:$D$324,1)+1)</f>
        <v>0.36849661531754552</v>
      </c>
      <c r="E399" s="11"/>
      <c r="F399" s="10"/>
      <c r="G399" s="10"/>
      <c r="H399" s="10"/>
    </row>
    <row r="400" spans="1:8" x14ac:dyDescent="0.25">
      <c r="A400" s="2">
        <v>56069</v>
      </c>
      <c r="B400" s="130">
        <v>0.383025576816866</v>
      </c>
      <c r="C400" s="130">
        <f>INDEX(Main!$F$2:$F$324,MATCH(A400,Main!$D$2:$D$324,1)+1)</f>
        <v>0.36849661531754552</v>
      </c>
      <c r="E400" s="11"/>
      <c r="F400" s="10"/>
      <c r="G400" s="10"/>
      <c r="H400" s="10"/>
    </row>
    <row r="401" spans="1:8" x14ac:dyDescent="0.25">
      <c r="A401" s="2">
        <v>56100</v>
      </c>
      <c r="B401" s="130">
        <v>0.38302557681660798</v>
      </c>
      <c r="C401" s="130">
        <f>INDEX(Main!$F$2:$F$324,MATCH(A401,Main!$D$2:$D$324,1)+1)</f>
        <v>0.36849661531754552</v>
      </c>
      <c r="E401" s="11"/>
      <c r="F401" s="10"/>
      <c r="G401" s="10"/>
      <c r="H401" s="10"/>
    </row>
    <row r="402" spans="1:8" x14ac:dyDescent="0.25">
      <c r="A402" s="2">
        <v>56133</v>
      </c>
      <c r="B402" s="130">
        <v>0.38302761421932202</v>
      </c>
      <c r="C402" s="130">
        <f>INDEX(Main!$F$2:$F$324,MATCH(A402,Main!$D$2:$D$324,1)+1)</f>
        <v>0.36849661531754552</v>
      </c>
      <c r="E402" s="11"/>
      <c r="F402" s="10"/>
      <c r="G402" s="10"/>
      <c r="H402" s="10"/>
    </row>
    <row r="403" spans="1:8" x14ac:dyDescent="0.25">
      <c r="A403" s="2">
        <v>56161</v>
      </c>
      <c r="B403" s="130">
        <v>0.38302557681712401</v>
      </c>
      <c r="C403" s="130">
        <f>INDEX(Main!$F$2:$F$324,MATCH(A403,Main!$D$2:$D$324,1)+1)</f>
        <v>0.36849661531754552</v>
      </c>
      <c r="E403" s="11"/>
      <c r="F403" s="10"/>
      <c r="G403" s="10"/>
      <c r="H403" s="10"/>
    </row>
    <row r="404" spans="1:8" x14ac:dyDescent="0.25">
      <c r="A404" s="2">
        <v>56192</v>
      </c>
      <c r="B404" s="130">
        <v>0.38302353942851702</v>
      </c>
      <c r="C404" s="130">
        <f>INDEX(Main!$F$2:$F$324,MATCH(A404,Main!$D$2:$D$324,1)+1)</f>
        <v>0.36849661531754552</v>
      </c>
      <c r="E404" s="11"/>
      <c r="F404" s="10"/>
      <c r="G404" s="10"/>
      <c r="H404" s="10"/>
    </row>
    <row r="405" spans="1:8" x14ac:dyDescent="0.25">
      <c r="A405" s="2">
        <v>56223</v>
      </c>
      <c r="B405" s="130">
        <v>0.38302761421957199</v>
      </c>
      <c r="C405" s="130">
        <f>INDEX(Main!$F$2:$F$324,MATCH(A405,Main!$D$2:$D$324,1)+1)</f>
        <v>0.36849661531754552</v>
      </c>
      <c r="E405" s="11"/>
      <c r="F405" s="10"/>
      <c r="G405" s="10"/>
      <c r="H405" s="10"/>
    </row>
    <row r="406" spans="1:8" x14ac:dyDescent="0.25">
      <c r="A406" s="2">
        <v>56253</v>
      </c>
      <c r="B406" s="130">
        <v>0.383025576816866</v>
      </c>
      <c r="C406" s="130">
        <f>INDEX(Main!$F$2:$F$324,MATCH(A406,Main!$D$2:$D$324,1)+1)</f>
        <v>0.36849661531754552</v>
      </c>
      <c r="E406" s="11"/>
      <c r="F406" s="10"/>
      <c r="G406" s="10"/>
      <c r="H406" s="10"/>
    </row>
    <row r="407" spans="1:8" x14ac:dyDescent="0.25">
      <c r="A407" s="2">
        <v>56284</v>
      </c>
      <c r="B407" s="130">
        <v>0.38301946469533799</v>
      </c>
      <c r="C407" s="130">
        <f>INDEX(Main!$F$2:$F$324,MATCH(A407,Main!$D$2:$D$324,1)+1)</f>
        <v>0.36849661531754552</v>
      </c>
      <c r="E407" s="11"/>
      <c r="F407" s="10"/>
      <c r="G407" s="10"/>
      <c r="H407" s="10"/>
    </row>
    <row r="408" spans="1:8" x14ac:dyDescent="0.25">
      <c r="A408" s="2">
        <v>56314</v>
      </c>
      <c r="B408" s="130">
        <v>0.38302965163654201</v>
      </c>
      <c r="C408" s="130">
        <f>INDEX(Main!$F$2:$F$324,MATCH(A408,Main!$D$2:$D$324,1)+1)</f>
        <v>0.36849661531754552</v>
      </c>
      <c r="E408" s="11"/>
      <c r="F408" s="10"/>
      <c r="G408" s="10"/>
      <c r="H408" s="10"/>
    </row>
    <row r="409" spans="1:8" x14ac:dyDescent="0.25">
      <c r="A409" s="2">
        <v>56343</v>
      </c>
      <c r="B409" s="130">
        <v>0.38302353942878398</v>
      </c>
      <c r="C409" s="130">
        <f>INDEX(Main!$F$2:$F$324,MATCH(A409,Main!$D$2:$D$324,1)+1)</f>
        <v>0.36849661531754552</v>
      </c>
      <c r="E409" s="11"/>
      <c r="F409" s="10"/>
      <c r="G409" s="10"/>
      <c r="H409" s="10"/>
    </row>
    <row r="410" spans="1:8" x14ac:dyDescent="0.25">
      <c r="A410" s="2">
        <v>56373</v>
      </c>
      <c r="B410" s="130">
        <v>0.383025576816866</v>
      </c>
      <c r="C410" s="130">
        <f>INDEX(Main!$F$2:$F$324,MATCH(A410,Main!$D$2:$D$324,1)+1)</f>
        <v>0.36849661531754552</v>
      </c>
      <c r="E410" s="11"/>
      <c r="F410" s="10"/>
      <c r="G410" s="10"/>
      <c r="H410" s="10"/>
    </row>
    <row r="411" spans="1:8" x14ac:dyDescent="0.25">
      <c r="A411" s="2">
        <v>56406</v>
      </c>
      <c r="B411" s="130">
        <v>0.38302761421957199</v>
      </c>
      <c r="C411" s="130">
        <f>INDEX(Main!$F$2:$F$324,MATCH(A411,Main!$D$2:$D$324,1)+1)</f>
        <v>0.36849661531754552</v>
      </c>
      <c r="E411" s="11"/>
      <c r="F411" s="10"/>
      <c r="G411" s="10"/>
      <c r="H411" s="10"/>
    </row>
    <row r="412" spans="1:8" x14ac:dyDescent="0.25">
      <c r="A412" s="2">
        <v>56434</v>
      </c>
      <c r="B412" s="130">
        <v>0.38302557681660798</v>
      </c>
      <c r="C412" s="130">
        <f>INDEX(Main!$F$2:$F$324,MATCH(A412,Main!$D$2:$D$324,1)+1)</f>
        <v>0.36849661531754552</v>
      </c>
      <c r="E412" s="11"/>
      <c r="F412" s="10"/>
      <c r="G412" s="10"/>
      <c r="H412" s="10"/>
    </row>
    <row r="413" spans="1:8" x14ac:dyDescent="0.25">
      <c r="A413" s="2">
        <v>56465</v>
      </c>
      <c r="B413" s="130">
        <v>0.383025576816866</v>
      </c>
      <c r="C413" s="130">
        <f>INDEX(Main!$F$2:$F$324,MATCH(A413,Main!$D$2:$D$324,1)+1)</f>
        <v>0.36849661531754552</v>
      </c>
      <c r="E413" s="11"/>
      <c r="F413" s="10"/>
      <c r="G413" s="10"/>
      <c r="H413" s="10"/>
    </row>
    <row r="414" spans="1:8" x14ac:dyDescent="0.25">
      <c r="A414" s="2">
        <v>56497</v>
      </c>
      <c r="B414" s="130">
        <v>0.38302557681660798</v>
      </c>
      <c r="C414" s="130">
        <f>INDEX(Main!$F$2:$F$324,MATCH(A414,Main!$D$2:$D$324,1)+1)</f>
        <v>0.36849661531754552</v>
      </c>
      <c r="E414" s="11"/>
      <c r="F414" s="10"/>
      <c r="G414" s="10"/>
      <c r="H414" s="10"/>
    </row>
    <row r="415" spans="1:8" x14ac:dyDescent="0.25">
      <c r="A415" s="2">
        <v>56526</v>
      </c>
      <c r="B415" s="130">
        <v>0.38302557681660798</v>
      </c>
      <c r="C415" s="130">
        <f>INDEX(Main!$F$2:$F$324,MATCH(A415,Main!$D$2:$D$324,1)+1)</f>
        <v>0.36849661531754552</v>
      </c>
      <c r="E415" s="11"/>
      <c r="F415" s="10"/>
      <c r="G415" s="10"/>
      <c r="H415" s="10"/>
    </row>
    <row r="416" spans="1:8" x14ac:dyDescent="0.25">
      <c r="A416" s="2">
        <v>56557</v>
      </c>
      <c r="B416" s="130">
        <v>0.38302353942878398</v>
      </c>
      <c r="C416" s="130">
        <f>INDEX(Main!$F$2:$F$324,MATCH(A416,Main!$D$2:$D$324,1)+1)</f>
        <v>0.36849661531754552</v>
      </c>
      <c r="E416" s="11"/>
      <c r="F416" s="10"/>
      <c r="G416" s="10"/>
      <c r="H416" s="10"/>
    </row>
    <row r="417" spans="1:8" x14ac:dyDescent="0.25">
      <c r="A417" s="2">
        <v>56587</v>
      </c>
      <c r="B417" s="130">
        <v>0.38302557681660798</v>
      </c>
      <c r="C417" s="130">
        <f>INDEX(Main!$F$2:$F$324,MATCH(A417,Main!$D$2:$D$324,1)+1)</f>
        <v>0.36849661531754552</v>
      </c>
      <c r="E417" s="11"/>
      <c r="F417" s="10"/>
      <c r="G417" s="10"/>
      <c r="H417" s="10"/>
    </row>
    <row r="418" spans="1:8" x14ac:dyDescent="0.25">
      <c r="A418" s="2">
        <v>56618</v>
      </c>
      <c r="B418" s="130">
        <v>0.383025576816866</v>
      </c>
      <c r="C418" s="130">
        <f>INDEX(Main!$F$2:$F$324,MATCH(A418,Main!$D$2:$D$324,1)+1)</f>
        <v>0.36849661531754552</v>
      </c>
      <c r="E418" s="11"/>
      <c r="F418" s="10"/>
      <c r="G418" s="10"/>
      <c r="H418" s="10"/>
    </row>
    <row r="419" spans="1:8" x14ac:dyDescent="0.25">
      <c r="A419" s="2">
        <v>56649</v>
      </c>
      <c r="B419" s="130">
        <v>0.38301946469562298</v>
      </c>
      <c r="C419" s="130">
        <f>INDEX(Main!$F$2:$F$324,MATCH(A419,Main!$D$2:$D$324,1)+1)</f>
        <v>0.36849661531754552</v>
      </c>
      <c r="E419" s="11"/>
      <c r="F419" s="10"/>
      <c r="G419" s="10"/>
      <c r="H419" s="10"/>
    </row>
    <row r="420" spans="1:8" x14ac:dyDescent="0.25">
      <c r="A420" s="2">
        <v>56678</v>
      </c>
      <c r="B420" s="130">
        <v>0.38302761421957199</v>
      </c>
      <c r="C420" s="130">
        <f>INDEX(Main!$F$2:$F$324,MATCH(A420,Main!$D$2:$D$324,1)+1)</f>
        <v>0.36849661531754552</v>
      </c>
      <c r="E420" s="11"/>
      <c r="F420" s="10"/>
      <c r="G420" s="10"/>
      <c r="H420" s="10"/>
    </row>
    <row r="421" spans="1:8" x14ac:dyDescent="0.25">
      <c r="A421" s="2">
        <v>56708</v>
      </c>
      <c r="B421" s="130">
        <v>0.38302353942851702</v>
      </c>
      <c r="C421" s="130">
        <f>INDEX(Main!$F$2:$F$324,MATCH(A421,Main!$D$2:$D$324,1)+1)</f>
        <v>0.36849661531754552</v>
      </c>
      <c r="E421" s="11"/>
      <c r="F421" s="10"/>
      <c r="G421" s="10"/>
      <c r="H421" s="10"/>
    </row>
    <row r="422" spans="1:8" x14ac:dyDescent="0.25">
      <c r="A422" s="2">
        <v>56738</v>
      </c>
      <c r="B422" s="130">
        <v>0.383025576816866</v>
      </c>
      <c r="C422" s="130">
        <f>INDEX(Main!$F$2:$F$324,MATCH(A422,Main!$D$2:$D$324,1)+1)</f>
        <v>0.36849661531754552</v>
      </c>
      <c r="E422" s="11"/>
      <c r="F422" s="10"/>
      <c r="G422" s="10"/>
      <c r="H422" s="10"/>
    </row>
    <row r="423" spans="1:8" x14ac:dyDescent="0.25">
      <c r="A423" s="2">
        <v>56771</v>
      </c>
      <c r="B423" s="130">
        <v>0.38302761421957199</v>
      </c>
      <c r="C423" s="130">
        <f>INDEX(Main!$F$2:$F$324,MATCH(A423,Main!$D$2:$D$324,1)+1)</f>
        <v>0.36849661531754552</v>
      </c>
      <c r="E423" s="11"/>
      <c r="F423" s="10"/>
      <c r="G423" s="10"/>
      <c r="H423" s="10"/>
    </row>
    <row r="424" spans="1:8" x14ac:dyDescent="0.25">
      <c r="A424" s="2">
        <v>56799</v>
      </c>
      <c r="B424" s="130">
        <v>0.383025576816866</v>
      </c>
      <c r="C424" s="130">
        <f>INDEX(Main!$F$2:$F$324,MATCH(A424,Main!$D$2:$D$324,1)+1)</f>
        <v>0.36849661531754552</v>
      </c>
      <c r="E424" s="11"/>
      <c r="F424" s="10"/>
      <c r="G424" s="10"/>
      <c r="H424" s="10"/>
    </row>
    <row r="425" spans="1:8" x14ac:dyDescent="0.25">
      <c r="A425" s="2">
        <v>56833</v>
      </c>
      <c r="B425" s="130">
        <v>0.38303168906792801</v>
      </c>
      <c r="C425" s="130">
        <f>INDEX(Main!$F$2:$F$324,MATCH(A425,Main!$D$2:$D$324,1)+1)</f>
        <v>0.36849661531754552</v>
      </c>
      <c r="E425" s="11"/>
      <c r="F425" s="10"/>
      <c r="G425" s="10"/>
      <c r="H425" s="10"/>
    </row>
    <row r="426" spans="1:8" x14ac:dyDescent="0.25">
      <c r="A426" s="2">
        <v>56861</v>
      </c>
      <c r="B426" s="130">
        <v>0.38302353942851702</v>
      </c>
      <c r="C426" s="130">
        <f>INDEX(Main!$F$2:$F$324,MATCH(A426,Main!$D$2:$D$324,1)+1)</f>
        <v>0.36849661531754552</v>
      </c>
      <c r="E426" s="11"/>
      <c r="F426" s="10"/>
      <c r="G426" s="10"/>
      <c r="H426" s="10"/>
    </row>
    <row r="427" spans="1:8" x14ac:dyDescent="0.25">
      <c r="A427" s="2">
        <v>56891</v>
      </c>
      <c r="B427" s="130">
        <v>0.383025576816866</v>
      </c>
      <c r="C427" s="130">
        <f>INDEX(Main!$F$2:$F$324,MATCH(A427,Main!$D$2:$D$324,1)+1)</f>
        <v>0.36849661531754552</v>
      </c>
      <c r="E427" s="11"/>
      <c r="F427" s="10"/>
      <c r="G427" s="10"/>
      <c r="H427" s="10"/>
    </row>
    <row r="428" spans="1:8" x14ac:dyDescent="0.25">
      <c r="A428" s="2">
        <v>56924</v>
      </c>
      <c r="B428" s="130">
        <v>0.38302761421957199</v>
      </c>
      <c r="C428" s="130">
        <f>INDEX(Main!$F$2:$F$324,MATCH(A428,Main!$D$2:$D$324,1)+1)</f>
        <v>0.36849661531754552</v>
      </c>
      <c r="E428" s="11"/>
      <c r="F428" s="10"/>
      <c r="G428" s="10"/>
      <c r="H428" s="10"/>
    </row>
    <row r="429" spans="1:8" x14ac:dyDescent="0.25">
      <c r="A429" s="2">
        <v>56952</v>
      </c>
      <c r="B429" s="130">
        <v>0.383025576816866</v>
      </c>
      <c r="C429" s="130">
        <f>INDEX(Main!$F$2:$F$324,MATCH(A429,Main!$D$2:$D$324,1)+1)</f>
        <v>0.36849661531754552</v>
      </c>
      <c r="E429" s="11"/>
      <c r="F429" s="10"/>
      <c r="G429" s="10"/>
      <c r="H429" s="10"/>
    </row>
    <row r="430" spans="1:8" x14ac:dyDescent="0.25">
      <c r="A430" s="2">
        <v>56983</v>
      </c>
      <c r="B430" s="130">
        <v>0.383025576816866</v>
      </c>
      <c r="C430" s="130">
        <f>INDEX(Main!$F$2:$F$324,MATCH(A430,Main!$D$2:$D$324,1)+1)</f>
        <v>0.36849661531754552</v>
      </c>
      <c r="E430" s="11"/>
      <c r="F430" s="10"/>
      <c r="G430" s="10"/>
      <c r="H430" s="10"/>
    </row>
    <row r="431" spans="1:8" x14ac:dyDescent="0.25">
      <c r="A431" s="2">
        <v>57016</v>
      </c>
      <c r="B431" s="130">
        <v>0.38302557681660798</v>
      </c>
      <c r="C431" s="130">
        <f>INDEX(Main!$F$2:$F$324,MATCH(A431,Main!$D$2:$D$324,1)+1)</f>
        <v>0.36849661531754552</v>
      </c>
      <c r="E431" s="11"/>
      <c r="F431" s="10"/>
      <c r="G431" s="10"/>
      <c r="H431" s="10"/>
    </row>
    <row r="432" spans="1:8" x14ac:dyDescent="0.25">
      <c r="A432" s="2">
        <v>57043</v>
      </c>
      <c r="B432" s="130">
        <v>0.383025576816866</v>
      </c>
      <c r="C432" s="130">
        <f>INDEX(Main!$F$2:$F$324,MATCH(A432,Main!$D$2:$D$324,1)+1)</f>
        <v>0.36849661531754552</v>
      </c>
      <c r="E432" s="11"/>
      <c r="F432" s="10"/>
      <c r="G432" s="10"/>
      <c r="H432" s="10"/>
    </row>
    <row r="433" spans="1:8" x14ac:dyDescent="0.25">
      <c r="A433" s="2">
        <v>57074</v>
      </c>
      <c r="B433" s="130">
        <v>0.38302353942878398</v>
      </c>
      <c r="C433" s="130">
        <f>INDEX(Main!$F$2:$F$324,MATCH(A433,Main!$D$2:$D$324,1)+1)</f>
        <v>0.36849661531754552</v>
      </c>
      <c r="E433" s="11"/>
      <c r="F433" s="10"/>
      <c r="G433" s="10"/>
      <c r="H433" s="10"/>
    </row>
    <row r="434" spans="1:8" x14ac:dyDescent="0.25">
      <c r="A434" s="2">
        <v>57105</v>
      </c>
      <c r="B434" s="130">
        <v>0.38302761421932202</v>
      </c>
      <c r="C434" s="130">
        <f>INDEX(Main!$F$2:$F$324,MATCH(A434,Main!$D$2:$D$324,1)+1)</f>
        <v>0.36849661531754552</v>
      </c>
      <c r="E434" s="11"/>
      <c r="F434" s="10"/>
      <c r="G434" s="10"/>
      <c r="H434" s="10"/>
    </row>
    <row r="435" spans="1:8" x14ac:dyDescent="0.25">
      <c r="A435" s="2">
        <v>57136</v>
      </c>
      <c r="B435" s="130">
        <v>0.38302353942878398</v>
      </c>
      <c r="C435" s="130">
        <f>INDEX(Main!$F$2:$F$324,MATCH(A435,Main!$D$2:$D$324,1)+1)</f>
        <v>0.36849661531754552</v>
      </c>
      <c r="E435" s="11"/>
      <c r="F435" s="10"/>
      <c r="G435" s="10"/>
      <c r="H435" s="10"/>
    </row>
    <row r="436" spans="1:8" x14ac:dyDescent="0.25">
      <c r="A436" s="2">
        <v>57165</v>
      </c>
      <c r="B436" s="130">
        <v>0.38302965163629998</v>
      </c>
      <c r="C436" s="130">
        <f>INDEX(Main!$F$2:$F$324,MATCH(A436,Main!$D$2:$D$324,1)+1)</f>
        <v>0.36849661531754552</v>
      </c>
      <c r="E436" s="11"/>
      <c r="F436" s="10"/>
      <c r="G436" s="10"/>
      <c r="H436" s="10"/>
    </row>
    <row r="437" spans="1:8" x14ac:dyDescent="0.25">
      <c r="A437" s="2">
        <v>57197</v>
      </c>
      <c r="B437" s="130">
        <v>0.38302761421932202</v>
      </c>
      <c r="C437" s="130">
        <f>INDEX(Main!$F$2:$F$324,MATCH(A437,Main!$D$2:$D$324,1)+1)</f>
        <v>0.36849661531754552</v>
      </c>
      <c r="E437" s="11"/>
      <c r="F437" s="10"/>
      <c r="G437" s="10"/>
      <c r="H437" s="10"/>
    </row>
    <row r="438" spans="1:8" x14ac:dyDescent="0.25">
      <c r="A438" s="2">
        <v>57227</v>
      </c>
      <c r="B438" s="130">
        <v>0.38302353942878398</v>
      </c>
      <c r="C438" s="130">
        <f>INDEX(Main!$F$2:$F$324,MATCH(A438,Main!$D$2:$D$324,1)+1)</f>
        <v>0.36849661531754552</v>
      </c>
      <c r="E438" s="11"/>
      <c r="F438" s="10"/>
      <c r="G438" s="10"/>
      <c r="H438" s="10"/>
    </row>
    <row r="439" spans="1:8" x14ac:dyDescent="0.25">
      <c r="A439" s="2">
        <v>57259</v>
      </c>
      <c r="B439" s="130">
        <v>0.38302965163629998</v>
      </c>
      <c r="C439" s="130">
        <f>INDEX(Main!$F$2:$F$324,MATCH(A439,Main!$D$2:$D$324,1)+1)</f>
        <v>0.36849661531754552</v>
      </c>
      <c r="E439" s="11"/>
      <c r="F439" s="10"/>
      <c r="G439" s="10"/>
      <c r="H439" s="10"/>
    </row>
    <row r="440" spans="1:8" x14ac:dyDescent="0.25">
      <c r="A440" s="2">
        <v>57288</v>
      </c>
      <c r="B440" s="130">
        <v>0.38302353942904999</v>
      </c>
      <c r="C440" s="130">
        <f>INDEX(Main!$F$2:$F$324,MATCH(A440,Main!$D$2:$D$324,1)+1)</f>
        <v>0.36849661531754552</v>
      </c>
      <c r="E440" s="11"/>
      <c r="F440" s="10"/>
      <c r="G440" s="10"/>
      <c r="H440" s="10"/>
    </row>
    <row r="441" spans="1:8" x14ac:dyDescent="0.25">
      <c r="A441" s="2">
        <v>57318</v>
      </c>
      <c r="B441" s="130">
        <v>0.383025576816866</v>
      </c>
      <c r="C441" s="130">
        <f>INDEX(Main!$F$2:$F$324,MATCH(A441,Main!$D$2:$D$324,1)+1)</f>
        <v>0.36849661531754552</v>
      </c>
      <c r="E441" s="11"/>
      <c r="F441" s="10"/>
      <c r="G441" s="10"/>
      <c r="H441" s="10"/>
    </row>
    <row r="442" spans="1:8" x14ac:dyDescent="0.25">
      <c r="A442" s="2">
        <v>57350</v>
      </c>
      <c r="B442" s="130">
        <v>0.38302761421932202</v>
      </c>
      <c r="C442" s="130">
        <f>INDEX(Main!$F$2:$F$324,MATCH(A442,Main!$D$2:$D$324,1)+1)</f>
        <v>0.36849661531754552</v>
      </c>
      <c r="E442" s="11"/>
      <c r="F442" s="10"/>
      <c r="G442" s="10"/>
      <c r="H442" s="10"/>
    </row>
    <row r="443" spans="1:8" x14ac:dyDescent="0.25">
      <c r="A443" s="2">
        <v>57381</v>
      </c>
      <c r="B443" s="130">
        <v>0.38301946469533799</v>
      </c>
      <c r="C443" s="130">
        <f>INDEX(Main!$F$2:$F$324,MATCH(A443,Main!$D$2:$D$324,1)+1)</f>
        <v>0.36849661531754552</v>
      </c>
      <c r="E443" s="11"/>
      <c r="F443" s="10"/>
      <c r="G443" s="10"/>
      <c r="H443" s="10"/>
    </row>
    <row r="444" spans="1:8" x14ac:dyDescent="0.25">
      <c r="A444" s="2">
        <v>57408</v>
      </c>
      <c r="B444" s="130">
        <v>0.383025576816866</v>
      </c>
      <c r="C444" s="130">
        <f>INDEX(Main!$F$2:$F$324,MATCH(A444,Main!$D$2:$D$324,1)+1)</f>
        <v>0.36849661531754552</v>
      </c>
      <c r="E444" s="11"/>
      <c r="F444" s="10"/>
      <c r="G444" s="10"/>
      <c r="H444" s="10"/>
    </row>
    <row r="445" spans="1:8" x14ac:dyDescent="0.25">
      <c r="A445" s="2">
        <v>57439</v>
      </c>
      <c r="B445" s="130">
        <v>0.38302353942878398</v>
      </c>
      <c r="C445" s="130">
        <f>INDEX(Main!$F$2:$F$324,MATCH(A445,Main!$D$2:$D$324,1)+1)</f>
        <v>0.36849661531754552</v>
      </c>
      <c r="E445" s="11"/>
      <c r="F445" s="10"/>
      <c r="G445" s="10"/>
      <c r="H445" s="10"/>
    </row>
    <row r="446" spans="1:8" x14ac:dyDescent="0.25">
      <c r="A446" s="2">
        <v>57469</v>
      </c>
      <c r="B446" s="130">
        <v>0.383025576816866</v>
      </c>
      <c r="C446" s="130">
        <f>INDEX(Main!$F$2:$F$324,MATCH(A446,Main!$D$2:$D$324,1)+1)</f>
        <v>0.36849661531754552</v>
      </c>
      <c r="E446" s="11"/>
      <c r="F446" s="10"/>
      <c r="G446" s="10"/>
      <c r="H446" s="10"/>
    </row>
    <row r="447" spans="1:8" x14ac:dyDescent="0.25">
      <c r="A447" s="2">
        <v>57501</v>
      </c>
      <c r="B447" s="130">
        <v>0.38302557681660798</v>
      </c>
      <c r="C447" s="130">
        <f>INDEX(Main!$F$2:$F$324,MATCH(A447,Main!$D$2:$D$324,1)+1)</f>
        <v>0.36849661531754552</v>
      </c>
      <c r="E447" s="11"/>
      <c r="F447" s="10"/>
      <c r="G447" s="10"/>
      <c r="H447" s="10"/>
    </row>
    <row r="448" spans="1:8" x14ac:dyDescent="0.25">
      <c r="A448" s="2">
        <v>57532</v>
      </c>
      <c r="B448" s="130">
        <v>0.38302761421957199</v>
      </c>
      <c r="C448" s="130">
        <f>INDEX(Main!$F$2:$F$324,MATCH(A448,Main!$D$2:$D$324,1)+1)</f>
        <v>0.36849661531754552</v>
      </c>
      <c r="E448" s="11"/>
      <c r="F448" s="10"/>
      <c r="G448" s="10"/>
      <c r="H448" s="10"/>
    </row>
    <row r="449" spans="1:8" x14ac:dyDescent="0.25">
      <c r="A449" s="2">
        <v>57561</v>
      </c>
      <c r="B449" s="130">
        <v>0.383025576816866</v>
      </c>
      <c r="C449" s="130">
        <f>INDEX(Main!$F$2:$F$324,MATCH(A449,Main!$D$2:$D$324,1)+1)</f>
        <v>0.36849661531754552</v>
      </c>
      <c r="E449" s="11"/>
      <c r="F449" s="10"/>
      <c r="G449" s="10"/>
      <c r="H449" s="10"/>
    </row>
    <row r="450" spans="1:8" x14ac:dyDescent="0.25">
      <c r="A450" s="2">
        <v>57592</v>
      </c>
      <c r="B450" s="130">
        <v>0.38302353942878398</v>
      </c>
      <c r="C450" s="130">
        <f>INDEX(Main!$F$2:$F$324,MATCH(A450,Main!$D$2:$D$324,1)+1)</f>
        <v>0.36849661531754552</v>
      </c>
      <c r="E450" s="11"/>
      <c r="F450" s="10"/>
      <c r="G450" s="10"/>
      <c r="H450" s="10"/>
    </row>
    <row r="451" spans="1:8" x14ac:dyDescent="0.25">
      <c r="A451" s="2">
        <v>57623</v>
      </c>
      <c r="B451" s="130">
        <v>0.38302761421932202</v>
      </c>
      <c r="C451" s="130">
        <f>INDEX(Main!$F$2:$F$324,MATCH(A451,Main!$D$2:$D$324,1)+1)</f>
        <v>0.36849661531754552</v>
      </c>
      <c r="E451" s="11"/>
      <c r="F451" s="10"/>
      <c r="G451" s="10"/>
      <c r="H451" s="10"/>
    </row>
    <row r="452" spans="1:8" x14ac:dyDescent="0.25">
      <c r="A452" s="2">
        <v>57653</v>
      </c>
      <c r="B452" s="130">
        <v>0.38302353942878398</v>
      </c>
      <c r="C452" s="130">
        <f>INDEX(Main!$F$2:$F$324,MATCH(A452,Main!$D$2:$D$324,1)+1)</f>
        <v>0.36849661531754552</v>
      </c>
      <c r="E452" s="11"/>
      <c r="F452" s="10"/>
      <c r="G452" s="10"/>
      <c r="H452" s="10"/>
    </row>
    <row r="453" spans="1:8" x14ac:dyDescent="0.25">
      <c r="A453" s="2">
        <v>57683</v>
      </c>
      <c r="B453" s="130">
        <v>0.383025576816866</v>
      </c>
      <c r="C453" s="130">
        <f>INDEX(Main!$F$2:$F$324,MATCH(A453,Main!$D$2:$D$324,1)+1)</f>
        <v>0.36849661531754552</v>
      </c>
      <c r="E453" s="11"/>
      <c r="F453" s="10"/>
      <c r="G453" s="10"/>
      <c r="H453" s="10"/>
    </row>
    <row r="454" spans="1:8" x14ac:dyDescent="0.25">
      <c r="A454" s="2">
        <v>57714</v>
      </c>
      <c r="B454" s="130">
        <v>0.383025576816866</v>
      </c>
      <c r="C454" s="130">
        <f>INDEX(Main!$F$2:$F$324,MATCH(A454,Main!$D$2:$D$324,1)+1)</f>
        <v>0.36849661531754552</v>
      </c>
      <c r="E454" s="11"/>
      <c r="F454" s="10"/>
      <c r="G454" s="10"/>
      <c r="H454" s="10"/>
    </row>
    <row r="455" spans="1:8" x14ac:dyDescent="0.25">
      <c r="A455" s="2">
        <v>57745</v>
      </c>
      <c r="B455" s="130">
        <v>0.38301946469562298</v>
      </c>
      <c r="C455" s="130">
        <f>INDEX(Main!$F$2:$F$324,MATCH(A455,Main!$D$2:$D$324,1)+1)</f>
        <v>0.36849661531754552</v>
      </c>
      <c r="E455" s="11"/>
      <c r="F455" s="10"/>
      <c r="G455" s="10"/>
      <c r="H455" s="10"/>
    </row>
    <row r="456" spans="1:8" x14ac:dyDescent="0.25">
      <c r="A456" s="2">
        <v>57773</v>
      </c>
      <c r="B456" s="130">
        <v>0.383025576816866</v>
      </c>
      <c r="C456" s="130">
        <f>INDEX(Main!$F$2:$F$324,MATCH(A456,Main!$D$2:$D$324,1)+1)</f>
        <v>0.36849661531754552</v>
      </c>
      <c r="E456" s="11"/>
      <c r="F456" s="10"/>
      <c r="G456" s="10"/>
      <c r="H456" s="10"/>
    </row>
    <row r="457" spans="1:8" x14ac:dyDescent="0.25">
      <c r="A457" s="2">
        <v>57806</v>
      </c>
      <c r="B457" s="130">
        <v>0.38302761421932202</v>
      </c>
      <c r="C457" s="130">
        <f>INDEX(Main!$F$2:$F$324,MATCH(A457,Main!$D$2:$D$324,1)+1)</f>
        <v>0.36849661531754552</v>
      </c>
      <c r="E457" s="11"/>
      <c r="F457" s="10"/>
      <c r="G457" s="10"/>
      <c r="H457" s="10"/>
    </row>
    <row r="458" spans="1:8" x14ac:dyDescent="0.25">
      <c r="A458" s="2">
        <v>57834</v>
      </c>
      <c r="B458" s="130">
        <v>0.38302557681712401</v>
      </c>
      <c r="C458" s="130">
        <f>INDEX(Main!$F$2:$F$324,MATCH(A458,Main!$D$2:$D$324,1)+1)</f>
        <v>0.36849661531754552</v>
      </c>
      <c r="E458" s="11"/>
      <c r="F458" s="10"/>
      <c r="G458" s="10"/>
      <c r="H458" s="10"/>
    </row>
    <row r="459" spans="1:8" x14ac:dyDescent="0.25">
      <c r="A459" s="2">
        <v>57866</v>
      </c>
      <c r="B459" s="130">
        <v>0.383025576816866</v>
      </c>
      <c r="C459" s="130">
        <f>INDEX(Main!$F$2:$F$324,MATCH(A459,Main!$D$2:$D$324,1)+1)</f>
        <v>0.36849661531754552</v>
      </c>
      <c r="E459" s="11"/>
      <c r="F459" s="10"/>
      <c r="G459" s="10"/>
      <c r="H459" s="10"/>
    </row>
    <row r="460" spans="1:8" x14ac:dyDescent="0.25">
      <c r="A460" s="2">
        <v>57896</v>
      </c>
      <c r="B460" s="130">
        <v>0.383025576816866</v>
      </c>
      <c r="C460" s="130">
        <f>INDEX(Main!$F$2:$F$324,MATCH(A460,Main!$D$2:$D$324,1)+1)</f>
        <v>0.36849661531754552</v>
      </c>
      <c r="E460" s="11"/>
      <c r="F460" s="10"/>
      <c r="G460" s="10"/>
      <c r="H460" s="10"/>
    </row>
    <row r="461" spans="1:8" x14ac:dyDescent="0.25">
      <c r="A461" s="2">
        <v>57926</v>
      </c>
      <c r="B461" s="130">
        <v>0.383025576816866</v>
      </c>
      <c r="C461" s="130">
        <f>INDEX(Main!$F$2:$F$324,MATCH(A461,Main!$D$2:$D$324,1)+1)</f>
        <v>0.36849661531754552</v>
      </c>
      <c r="E461" s="11"/>
      <c r="F461" s="10"/>
      <c r="G461" s="10"/>
      <c r="H461" s="10"/>
    </row>
    <row r="462" spans="1:8" x14ac:dyDescent="0.25">
      <c r="A462" s="2">
        <v>57957</v>
      </c>
      <c r="B462" s="130">
        <v>0.38302353942878398</v>
      </c>
      <c r="C462" s="130">
        <f>INDEX(Main!$F$2:$F$324,MATCH(A462,Main!$D$2:$D$324,1)+1)</f>
        <v>0.36849661531754552</v>
      </c>
      <c r="E462" s="11"/>
      <c r="F462" s="10"/>
      <c r="G462" s="10"/>
      <c r="H462" s="10"/>
    </row>
    <row r="463" spans="1:8" x14ac:dyDescent="0.25">
      <c r="A463" s="2">
        <v>57987</v>
      </c>
      <c r="B463" s="130">
        <v>0.383025576816866</v>
      </c>
      <c r="C463" s="130">
        <f>INDEX(Main!$F$2:$F$324,MATCH(A463,Main!$D$2:$D$324,1)+1)</f>
        <v>0.36849661531754552</v>
      </c>
      <c r="E463" s="11"/>
      <c r="F463" s="10"/>
      <c r="G463" s="10"/>
      <c r="H463" s="10"/>
    </row>
    <row r="464" spans="1:8" x14ac:dyDescent="0.25">
      <c r="A464" s="2">
        <v>58018</v>
      </c>
      <c r="B464" s="130">
        <v>0.38302353942878398</v>
      </c>
      <c r="C464" s="130">
        <f>INDEX(Main!$F$2:$F$324,MATCH(A464,Main!$D$2:$D$324,1)+1)</f>
        <v>0.36849661531754552</v>
      </c>
      <c r="E464" s="11"/>
      <c r="F464" s="10"/>
      <c r="G464" s="10"/>
      <c r="H464" s="10"/>
    </row>
    <row r="465" spans="1:8" x14ac:dyDescent="0.25">
      <c r="A465" s="2">
        <v>58050</v>
      </c>
      <c r="B465" s="130">
        <v>0.38302965163654201</v>
      </c>
      <c r="C465" s="130">
        <f>INDEX(Main!$F$2:$F$324,MATCH(A465,Main!$D$2:$D$324,1)+1)</f>
        <v>0.36849661531754552</v>
      </c>
      <c r="E465" s="11"/>
      <c r="F465" s="10"/>
      <c r="G465" s="10"/>
      <c r="H465" s="10"/>
    </row>
    <row r="466" spans="1:8" x14ac:dyDescent="0.25">
      <c r="A466" s="2">
        <v>58079</v>
      </c>
      <c r="B466" s="130">
        <v>0.383025576816866</v>
      </c>
      <c r="C466" s="130">
        <f>INDEX(Main!$F$2:$F$324,MATCH(A466,Main!$D$2:$D$324,1)+1)</f>
        <v>0.36849661531754552</v>
      </c>
      <c r="E466" s="11"/>
      <c r="F466" s="10"/>
      <c r="G466" s="10"/>
      <c r="H466" s="10"/>
    </row>
    <row r="467" spans="1:8" x14ac:dyDescent="0.25">
      <c r="A467" s="2">
        <v>58110</v>
      </c>
      <c r="B467" s="130">
        <v>0.38301946469590897</v>
      </c>
      <c r="C467" s="130">
        <f>INDEX(Main!$F$2:$F$324,MATCH(A467,Main!$D$2:$D$324,1)+1)</f>
        <v>0.36849661531754552</v>
      </c>
      <c r="E467" s="11"/>
      <c r="F467" s="10"/>
      <c r="G467" s="10"/>
      <c r="H467" s="10"/>
    </row>
    <row r="468" spans="1:8" x14ac:dyDescent="0.25">
      <c r="A468" s="2">
        <v>58138</v>
      </c>
      <c r="B468" s="130">
        <v>0.383025576816866</v>
      </c>
      <c r="C468" s="130">
        <f>INDEX(Main!$F$2:$F$324,MATCH(A468,Main!$D$2:$D$324,1)+1)</f>
        <v>0.36849661531754552</v>
      </c>
      <c r="E468" s="11"/>
      <c r="F468" s="10"/>
      <c r="G468" s="10"/>
      <c r="H468" s="10"/>
    </row>
    <row r="469" spans="1:8" x14ac:dyDescent="0.25">
      <c r="A469" s="2">
        <v>58170</v>
      </c>
      <c r="B469" s="130">
        <v>0.383025576816866</v>
      </c>
      <c r="C469" s="130">
        <f>INDEX(Main!$F$2:$F$324,MATCH(A469,Main!$D$2:$D$324,1)+1)</f>
        <v>0.36849661531754552</v>
      </c>
      <c r="E469" s="11"/>
      <c r="F469" s="10"/>
      <c r="G469" s="10"/>
      <c r="H469" s="10"/>
    </row>
    <row r="470" spans="1:8" x14ac:dyDescent="0.25">
      <c r="A470" s="2">
        <v>58199</v>
      </c>
      <c r="B470" s="130">
        <v>0.38302557681660798</v>
      </c>
      <c r="C470" s="130">
        <f>INDEX(Main!$F$2:$F$324,MATCH(A470,Main!$D$2:$D$324,1)+1)</f>
        <v>0.36849661531754552</v>
      </c>
      <c r="E470" s="11"/>
      <c r="F470" s="10"/>
      <c r="G470" s="10"/>
      <c r="H470" s="10"/>
    </row>
    <row r="471" spans="1:8" x14ac:dyDescent="0.25">
      <c r="A471" s="2">
        <v>58233</v>
      </c>
      <c r="B471" s="130">
        <v>0.38302965163605801</v>
      </c>
      <c r="C471" s="130">
        <f>INDEX(Main!$F$2:$F$324,MATCH(A471,Main!$D$2:$D$324,1)+1)</f>
        <v>0.36849661531754552</v>
      </c>
      <c r="E471" s="11"/>
      <c r="F471" s="10"/>
      <c r="G471" s="10"/>
      <c r="H471" s="10"/>
    </row>
    <row r="472" spans="1:8" x14ac:dyDescent="0.25">
      <c r="A472" s="2">
        <v>58260</v>
      </c>
      <c r="B472" s="130">
        <v>0.38302557681712401</v>
      </c>
      <c r="C472" s="130">
        <f>INDEX(Main!$F$2:$F$324,MATCH(A472,Main!$D$2:$D$324,1)+1)</f>
        <v>0.36849661531754552</v>
      </c>
      <c r="E472" s="11"/>
      <c r="F472" s="10"/>
      <c r="G472" s="10"/>
      <c r="H472" s="10"/>
    </row>
    <row r="473" spans="1:8" x14ac:dyDescent="0.25">
      <c r="A473" s="2">
        <v>58291</v>
      </c>
      <c r="B473" s="130">
        <v>0.383025576816866</v>
      </c>
      <c r="C473" s="130">
        <f>INDEX(Main!$F$2:$F$324,MATCH(A473,Main!$D$2:$D$324,1)+1)</f>
        <v>0.36849661531754552</v>
      </c>
      <c r="E473" s="11"/>
      <c r="F473" s="10"/>
      <c r="G473" s="10"/>
      <c r="H473" s="10"/>
    </row>
    <row r="474" spans="1:8" x14ac:dyDescent="0.25">
      <c r="A474" s="2">
        <v>58324</v>
      </c>
      <c r="B474" s="130">
        <v>0.38302761421932202</v>
      </c>
      <c r="C474" s="130">
        <f>INDEX(Main!$F$2:$F$324,MATCH(A474,Main!$D$2:$D$324,1)+1)</f>
        <v>0.36849661531754552</v>
      </c>
      <c r="E474" s="11"/>
      <c r="F474" s="10"/>
      <c r="G474" s="10"/>
      <c r="H474" s="10"/>
    </row>
    <row r="475" spans="1:8" x14ac:dyDescent="0.25">
      <c r="A475" s="2">
        <v>58352</v>
      </c>
      <c r="B475" s="130">
        <v>0.383025576816866</v>
      </c>
      <c r="C475" s="130">
        <f>INDEX(Main!$F$2:$F$324,MATCH(A475,Main!$D$2:$D$324,1)+1)</f>
        <v>0.36849661531754552</v>
      </c>
      <c r="E475" s="11"/>
      <c r="F475" s="10"/>
      <c r="G475" s="10"/>
      <c r="H475" s="10"/>
    </row>
    <row r="476" spans="1:8" x14ac:dyDescent="0.25">
      <c r="A476" s="2">
        <v>58383</v>
      </c>
      <c r="B476" s="130">
        <v>0.38302353942851702</v>
      </c>
      <c r="C476" s="130">
        <f>INDEX(Main!$F$2:$F$324,MATCH(A476,Main!$D$2:$D$324,1)+1)</f>
        <v>0.36849661531754552</v>
      </c>
      <c r="E476" s="11"/>
      <c r="F476" s="10"/>
      <c r="G476" s="10"/>
      <c r="H476" s="10"/>
    </row>
    <row r="477" spans="1:8" x14ac:dyDescent="0.25">
      <c r="A477" s="2">
        <v>58414</v>
      </c>
      <c r="B477" s="130">
        <v>0.38302761421957199</v>
      </c>
      <c r="C477" s="130">
        <f>INDEX(Main!$F$2:$F$324,MATCH(A477,Main!$D$2:$D$324,1)+1)</f>
        <v>0.36849661531754552</v>
      </c>
      <c r="E477" s="11"/>
      <c r="F477" s="10"/>
      <c r="G477" s="10"/>
      <c r="H477" s="10"/>
    </row>
    <row r="478" spans="1:8" x14ac:dyDescent="0.25">
      <c r="A478" s="2">
        <v>58444</v>
      </c>
      <c r="B478" s="130">
        <v>0.38302557681660798</v>
      </c>
      <c r="C478" s="130">
        <f>INDEX(Main!$F$2:$F$324,MATCH(A478,Main!$D$2:$D$324,1)+1)</f>
        <v>0.36849661531754552</v>
      </c>
      <c r="E478" s="11"/>
      <c r="F478" s="10"/>
      <c r="G478" s="10"/>
      <c r="H478" s="10"/>
    </row>
    <row r="479" spans="1:8" x14ac:dyDescent="0.25">
      <c r="A479" s="2">
        <v>58475</v>
      </c>
      <c r="B479" s="130">
        <v>0.38302150205490998</v>
      </c>
      <c r="C479" s="130">
        <f>INDEX(Main!$F$2:$F$324,MATCH(A479,Main!$D$2:$D$324,1)+1)</f>
        <v>0.36849661531754552</v>
      </c>
      <c r="E479" s="11"/>
      <c r="F479" s="10"/>
      <c r="G479" s="10"/>
      <c r="H479" s="10"/>
    </row>
    <row r="480" spans="1:8" x14ac:dyDescent="0.25">
      <c r="A480" s="2">
        <v>58505</v>
      </c>
      <c r="B480" s="130">
        <v>0.38302761421957199</v>
      </c>
      <c r="C480" s="130">
        <f>INDEX(Main!$F$2:$F$324,MATCH(A480,Main!$D$2:$D$324,1)+1)</f>
        <v>0.36849661531754552</v>
      </c>
      <c r="E480" s="11"/>
      <c r="F480" s="10"/>
      <c r="G480" s="10"/>
      <c r="H480" s="10"/>
    </row>
    <row r="481" spans="1:8" x14ac:dyDescent="0.25">
      <c r="A481" s="2">
        <v>58531</v>
      </c>
      <c r="B481" s="130">
        <v>0.38302353942878398</v>
      </c>
      <c r="C481" s="130">
        <f>INDEX(Main!$F$2:$F$324,MATCH(A481,Main!$D$2:$D$324,1)+1)</f>
        <v>0.36849661531754552</v>
      </c>
      <c r="E481" s="11"/>
      <c r="F481" s="10"/>
      <c r="G481" s="10"/>
      <c r="H481" s="10"/>
    </row>
    <row r="482" spans="1:8" x14ac:dyDescent="0.25">
      <c r="A482" s="18"/>
    </row>
    <row r="483" spans="1:8" x14ac:dyDescent="0.25">
      <c r="A483" s="18"/>
    </row>
    <row r="484" spans="1:8" x14ac:dyDescent="0.25">
      <c r="A484" s="18"/>
    </row>
    <row r="485" spans="1:8" x14ac:dyDescent="0.25">
      <c r="A485" s="18"/>
    </row>
    <row r="486" spans="1:8" x14ac:dyDescent="0.25">
      <c r="A486" s="18"/>
    </row>
    <row r="487" spans="1:8" x14ac:dyDescent="0.25">
      <c r="A487" s="18"/>
    </row>
    <row r="488" spans="1:8" x14ac:dyDescent="0.25">
      <c r="A488" s="18"/>
    </row>
    <row r="489" spans="1:8" x14ac:dyDescent="0.25">
      <c r="A489" s="18"/>
    </row>
    <row r="490" spans="1:8" x14ac:dyDescent="0.25">
      <c r="A490" s="18"/>
    </row>
    <row r="491" spans="1:8" x14ac:dyDescent="0.25">
      <c r="A491" s="18"/>
    </row>
    <row r="492" spans="1:8" x14ac:dyDescent="0.25">
      <c r="A492" s="18"/>
    </row>
    <row r="493" spans="1:8" x14ac:dyDescent="0.25">
      <c r="A493" s="18"/>
    </row>
    <row r="494" spans="1:8" x14ac:dyDescent="0.25">
      <c r="A494" s="18"/>
    </row>
    <row r="495" spans="1:8" x14ac:dyDescent="0.25">
      <c r="A495" s="18"/>
    </row>
    <row r="496" spans="1:8" x14ac:dyDescent="0.25">
      <c r="A496" s="18"/>
    </row>
    <row r="497" spans="1:1" x14ac:dyDescent="0.25">
      <c r="A497" s="18"/>
    </row>
    <row r="498" spans="1:1" x14ac:dyDescent="0.25">
      <c r="A498" s="18"/>
    </row>
    <row r="499" spans="1:1" x14ac:dyDescent="0.25">
      <c r="A499" s="18"/>
    </row>
    <row r="500" spans="1:1" x14ac:dyDescent="0.25">
      <c r="A500" s="18"/>
    </row>
    <row r="501" spans="1:1" x14ac:dyDescent="0.25">
      <c r="A501" s="18"/>
    </row>
    <row r="502" spans="1:1" x14ac:dyDescent="0.25">
      <c r="A502" s="18"/>
    </row>
    <row r="503" spans="1:1" x14ac:dyDescent="0.25">
      <c r="A503" s="18"/>
    </row>
    <row r="504" spans="1:1" x14ac:dyDescent="0.25">
      <c r="A504" s="18"/>
    </row>
    <row r="505" spans="1:1" x14ac:dyDescent="0.25">
      <c r="A505" s="18"/>
    </row>
    <row r="506" spans="1:1" x14ac:dyDescent="0.25">
      <c r="A506" s="18"/>
    </row>
    <row r="507" spans="1:1" x14ac:dyDescent="0.25">
      <c r="A507" s="18"/>
    </row>
    <row r="508" spans="1:1" x14ac:dyDescent="0.25">
      <c r="A508" s="18"/>
    </row>
    <row r="509" spans="1:1" x14ac:dyDescent="0.25">
      <c r="A509" s="18"/>
    </row>
    <row r="510" spans="1:1" x14ac:dyDescent="0.25">
      <c r="A510" s="18"/>
    </row>
    <row r="511" spans="1:1" x14ac:dyDescent="0.25">
      <c r="A511" s="18"/>
    </row>
    <row r="512" spans="1:1" x14ac:dyDescent="0.25">
      <c r="A512" s="18"/>
    </row>
    <row r="513" spans="1:1" x14ac:dyDescent="0.25">
      <c r="A513" s="18"/>
    </row>
    <row r="514" spans="1:1" x14ac:dyDescent="0.25">
      <c r="A514" s="18"/>
    </row>
    <row r="515" spans="1:1" x14ac:dyDescent="0.25">
      <c r="A515" s="18"/>
    </row>
    <row r="516" spans="1:1" x14ac:dyDescent="0.25">
      <c r="A516" s="18"/>
    </row>
    <row r="517" spans="1:1" x14ac:dyDescent="0.25">
      <c r="A517" s="18"/>
    </row>
    <row r="518" spans="1:1" x14ac:dyDescent="0.25">
      <c r="A518" s="18"/>
    </row>
    <row r="519" spans="1:1" x14ac:dyDescent="0.25">
      <c r="A519" s="18"/>
    </row>
    <row r="520" spans="1:1" x14ac:dyDescent="0.25">
      <c r="A520" s="18"/>
    </row>
    <row r="521" spans="1:1" x14ac:dyDescent="0.25">
      <c r="A521" s="18"/>
    </row>
    <row r="522" spans="1:1" x14ac:dyDescent="0.25">
      <c r="A522" s="18"/>
    </row>
    <row r="523" spans="1:1" x14ac:dyDescent="0.25">
      <c r="A523" s="18"/>
    </row>
    <row r="524" spans="1:1" x14ac:dyDescent="0.25">
      <c r="A524" s="18"/>
    </row>
    <row r="525" spans="1:1" x14ac:dyDescent="0.25">
      <c r="A525" s="18"/>
    </row>
    <row r="526" spans="1:1" x14ac:dyDescent="0.25">
      <c r="A526" s="18"/>
    </row>
    <row r="527" spans="1:1" x14ac:dyDescent="0.25">
      <c r="A527" s="18"/>
    </row>
    <row r="528" spans="1:1" x14ac:dyDescent="0.25">
      <c r="A528" s="18"/>
    </row>
    <row r="529" spans="1:1" x14ac:dyDescent="0.25">
      <c r="A529" s="18"/>
    </row>
    <row r="530" spans="1:1" x14ac:dyDescent="0.25">
      <c r="A530" s="18"/>
    </row>
    <row r="531" spans="1:1" x14ac:dyDescent="0.25">
      <c r="A531" s="18"/>
    </row>
    <row r="532" spans="1:1" x14ac:dyDescent="0.25">
      <c r="A532" s="18"/>
    </row>
    <row r="533" spans="1:1" x14ac:dyDescent="0.25">
      <c r="A533" s="18"/>
    </row>
    <row r="534" spans="1:1" x14ac:dyDescent="0.25">
      <c r="A534" s="18"/>
    </row>
    <row r="535" spans="1:1" x14ac:dyDescent="0.25">
      <c r="A535" s="18"/>
    </row>
    <row r="536" spans="1:1" x14ac:dyDescent="0.25">
      <c r="A536" s="18"/>
    </row>
    <row r="537" spans="1:1" x14ac:dyDescent="0.25">
      <c r="A537" s="18"/>
    </row>
    <row r="538" spans="1:1" x14ac:dyDescent="0.25">
      <c r="A538" s="18"/>
    </row>
    <row r="539" spans="1:1" x14ac:dyDescent="0.25">
      <c r="A539" s="18"/>
    </row>
    <row r="540" spans="1:1" x14ac:dyDescent="0.25">
      <c r="A540" s="18"/>
    </row>
    <row r="541" spans="1:1" x14ac:dyDescent="0.25">
      <c r="A541" s="18"/>
    </row>
    <row r="542" spans="1:1" x14ac:dyDescent="0.25">
      <c r="A542" s="18"/>
    </row>
    <row r="543" spans="1:1" x14ac:dyDescent="0.25">
      <c r="A543" s="18"/>
    </row>
    <row r="544" spans="1:1" x14ac:dyDescent="0.25">
      <c r="A544" s="18"/>
    </row>
    <row r="545" spans="1:1" x14ac:dyDescent="0.25">
      <c r="A545" s="18"/>
    </row>
    <row r="546" spans="1:1" x14ac:dyDescent="0.25">
      <c r="A546" s="18"/>
    </row>
    <row r="547" spans="1:1" x14ac:dyDescent="0.25">
      <c r="A547" s="18"/>
    </row>
    <row r="548" spans="1:1" x14ac:dyDescent="0.25">
      <c r="A548" s="18"/>
    </row>
    <row r="549" spans="1:1" x14ac:dyDescent="0.25">
      <c r="A549" s="18"/>
    </row>
    <row r="550" spans="1:1" x14ac:dyDescent="0.25">
      <c r="A550" s="18"/>
    </row>
    <row r="551" spans="1:1" x14ac:dyDescent="0.25">
      <c r="A551" s="18"/>
    </row>
    <row r="552" spans="1:1" x14ac:dyDescent="0.25">
      <c r="A552" s="18"/>
    </row>
    <row r="553" spans="1:1" x14ac:dyDescent="0.25">
      <c r="A553" s="18"/>
    </row>
    <row r="554" spans="1:1" x14ac:dyDescent="0.25">
      <c r="A554" s="18"/>
    </row>
    <row r="555" spans="1:1" x14ac:dyDescent="0.25">
      <c r="A555" s="18"/>
    </row>
    <row r="556" spans="1:1" x14ac:dyDescent="0.25">
      <c r="A556" s="18"/>
    </row>
    <row r="557" spans="1:1" x14ac:dyDescent="0.25">
      <c r="A557" s="18"/>
    </row>
    <row r="558" spans="1:1" x14ac:dyDescent="0.25">
      <c r="A558" s="18"/>
    </row>
    <row r="559" spans="1:1" x14ac:dyDescent="0.25">
      <c r="A559" s="18"/>
    </row>
    <row r="560" spans="1:1" x14ac:dyDescent="0.25">
      <c r="A560" s="18"/>
    </row>
    <row r="561" spans="1:1" x14ac:dyDescent="0.25">
      <c r="A561" s="18"/>
    </row>
    <row r="562" spans="1:1" x14ac:dyDescent="0.25">
      <c r="A562" s="18"/>
    </row>
    <row r="563" spans="1:1" x14ac:dyDescent="0.25">
      <c r="A563" s="18"/>
    </row>
    <row r="564" spans="1:1" x14ac:dyDescent="0.25">
      <c r="A564" s="18"/>
    </row>
    <row r="565" spans="1:1" x14ac:dyDescent="0.25">
      <c r="A565" s="18"/>
    </row>
    <row r="566" spans="1:1" x14ac:dyDescent="0.25">
      <c r="A566" s="18"/>
    </row>
    <row r="567" spans="1:1" x14ac:dyDescent="0.25">
      <c r="A567" s="18"/>
    </row>
    <row r="568" spans="1:1" x14ac:dyDescent="0.25">
      <c r="A568" s="18"/>
    </row>
    <row r="569" spans="1:1" x14ac:dyDescent="0.25">
      <c r="A569" s="18"/>
    </row>
    <row r="570" spans="1:1" x14ac:dyDescent="0.25">
      <c r="A570" s="18"/>
    </row>
    <row r="571" spans="1:1" x14ac:dyDescent="0.25">
      <c r="A571" s="18"/>
    </row>
    <row r="572" spans="1:1" x14ac:dyDescent="0.25">
      <c r="A572" s="18"/>
    </row>
    <row r="573" spans="1:1" x14ac:dyDescent="0.25">
      <c r="A573" s="18"/>
    </row>
    <row r="574" spans="1:1" x14ac:dyDescent="0.25">
      <c r="A574" s="18"/>
    </row>
    <row r="575" spans="1:1" x14ac:dyDescent="0.25">
      <c r="A575" s="18"/>
    </row>
    <row r="576" spans="1:1" x14ac:dyDescent="0.25">
      <c r="A576" s="18"/>
    </row>
    <row r="577" spans="1:1" x14ac:dyDescent="0.25">
      <c r="A577" s="18"/>
    </row>
    <row r="578" spans="1:1" x14ac:dyDescent="0.25">
      <c r="A578" s="18"/>
    </row>
    <row r="579" spans="1:1" x14ac:dyDescent="0.25">
      <c r="A579" s="18"/>
    </row>
    <row r="580" spans="1:1" x14ac:dyDescent="0.25">
      <c r="A580" s="18"/>
    </row>
    <row r="581" spans="1:1" x14ac:dyDescent="0.25">
      <c r="A581" s="18"/>
    </row>
    <row r="582" spans="1:1" x14ac:dyDescent="0.25">
      <c r="A582" s="18"/>
    </row>
    <row r="583" spans="1:1" x14ac:dyDescent="0.25">
      <c r="A583" s="18"/>
    </row>
    <row r="584" spans="1:1" x14ac:dyDescent="0.25">
      <c r="A584" s="18"/>
    </row>
    <row r="585" spans="1:1" x14ac:dyDescent="0.25">
      <c r="A585" s="18"/>
    </row>
    <row r="586" spans="1:1" x14ac:dyDescent="0.25">
      <c r="A586" s="18"/>
    </row>
    <row r="587" spans="1:1" x14ac:dyDescent="0.25">
      <c r="A587" s="18"/>
    </row>
    <row r="588" spans="1:1" x14ac:dyDescent="0.25">
      <c r="A588" s="18"/>
    </row>
    <row r="589" spans="1:1" x14ac:dyDescent="0.25">
      <c r="A589" s="18"/>
    </row>
    <row r="590" spans="1:1" x14ac:dyDescent="0.25">
      <c r="A590" s="18"/>
    </row>
    <row r="591" spans="1:1" x14ac:dyDescent="0.25">
      <c r="A591" s="18"/>
    </row>
    <row r="592" spans="1:1" x14ac:dyDescent="0.25">
      <c r="A592" s="18"/>
    </row>
    <row r="593" spans="1:1" x14ac:dyDescent="0.25">
      <c r="A593" s="18"/>
    </row>
    <row r="594" spans="1:1" x14ac:dyDescent="0.25">
      <c r="A594" s="18"/>
    </row>
    <row r="595" spans="1:1" x14ac:dyDescent="0.25">
      <c r="A595" s="18"/>
    </row>
    <row r="596" spans="1:1" x14ac:dyDescent="0.25">
      <c r="A596" s="18"/>
    </row>
    <row r="597" spans="1:1" x14ac:dyDescent="0.25">
      <c r="A597" s="18"/>
    </row>
    <row r="598" spans="1:1" x14ac:dyDescent="0.25">
      <c r="A598" s="18"/>
    </row>
    <row r="599" spans="1:1" x14ac:dyDescent="0.25">
      <c r="A599" s="18"/>
    </row>
    <row r="600" spans="1:1" x14ac:dyDescent="0.25">
      <c r="A600" s="18"/>
    </row>
    <row r="601" spans="1:1" x14ac:dyDescent="0.25">
      <c r="A601" s="18"/>
    </row>
    <row r="602" spans="1:1" x14ac:dyDescent="0.25">
      <c r="A602" s="18"/>
    </row>
    <row r="603" spans="1:1" x14ac:dyDescent="0.25">
      <c r="A603" s="18"/>
    </row>
    <row r="604" spans="1:1" x14ac:dyDescent="0.25">
      <c r="A604" s="18"/>
    </row>
    <row r="605" spans="1:1" x14ac:dyDescent="0.25">
      <c r="A605" s="18"/>
    </row>
    <row r="606" spans="1:1" x14ac:dyDescent="0.25">
      <c r="A606" s="18"/>
    </row>
    <row r="607" spans="1:1" x14ac:dyDescent="0.25">
      <c r="A607" s="18"/>
    </row>
    <row r="608" spans="1:1" x14ac:dyDescent="0.25">
      <c r="A608" s="18"/>
    </row>
    <row r="609" spans="1:1" x14ac:dyDescent="0.25">
      <c r="A609" s="18"/>
    </row>
    <row r="610" spans="1:1" x14ac:dyDescent="0.25">
      <c r="A610" s="18"/>
    </row>
    <row r="611" spans="1:1" x14ac:dyDescent="0.25">
      <c r="A611" s="18"/>
    </row>
    <row r="612" spans="1:1" x14ac:dyDescent="0.25">
      <c r="A612" s="18"/>
    </row>
    <row r="613" spans="1:1" x14ac:dyDescent="0.25">
      <c r="A613" s="18"/>
    </row>
    <row r="614" spans="1:1" x14ac:dyDescent="0.25">
      <c r="A614" s="18"/>
    </row>
    <row r="615" spans="1:1" x14ac:dyDescent="0.25">
      <c r="A615" s="18"/>
    </row>
    <row r="616" spans="1:1" x14ac:dyDescent="0.25">
      <c r="A616" s="18"/>
    </row>
    <row r="617" spans="1:1" x14ac:dyDescent="0.25">
      <c r="A617" s="18"/>
    </row>
    <row r="618" spans="1:1" x14ac:dyDescent="0.25">
      <c r="A618" s="18"/>
    </row>
    <row r="619" spans="1:1" x14ac:dyDescent="0.25">
      <c r="A619" s="18"/>
    </row>
    <row r="620" spans="1:1" x14ac:dyDescent="0.25">
      <c r="A620" s="18"/>
    </row>
    <row r="621" spans="1:1" x14ac:dyDescent="0.25">
      <c r="A621" s="18"/>
    </row>
    <row r="622" spans="1:1" x14ac:dyDescent="0.25">
      <c r="A622" s="18"/>
    </row>
    <row r="623" spans="1:1" x14ac:dyDescent="0.25">
      <c r="A623" s="18"/>
    </row>
    <row r="624" spans="1:1" x14ac:dyDescent="0.25">
      <c r="A624" s="18"/>
    </row>
    <row r="625" spans="1:1" x14ac:dyDescent="0.25">
      <c r="A625" s="18"/>
    </row>
    <row r="626" spans="1:1" x14ac:dyDescent="0.25">
      <c r="A626" s="18"/>
    </row>
    <row r="627" spans="1:1" x14ac:dyDescent="0.25">
      <c r="A627" s="18"/>
    </row>
    <row r="628" spans="1:1" x14ac:dyDescent="0.25">
      <c r="A628" s="18"/>
    </row>
    <row r="629" spans="1:1" x14ac:dyDescent="0.25">
      <c r="A629" s="18"/>
    </row>
    <row r="630" spans="1:1" x14ac:dyDescent="0.25">
      <c r="A630" s="18"/>
    </row>
    <row r="631" spans="1:1" x14ac:dyDescent="0.25">
      <c r="A631" s="18"/>
    </row>
    <row r="632" spans="1:1" x14ac:dyDescent="0.25">
      <c r="A632" s="18"/>
    </row>
    <row r="633" spans="1:1" x14ac:dyDescent="0.25">
      <c r="A633" s="18"/>
    </row>
    <row r="634" spans="1:1" x14ac:dyDescent="0.25">
      <c r="A634" s="18"/>
    </row>
    <row r="635" spans="1:1" x14ac:dyDescent="0.25">
      <c r="A635" s="18"/>
    </row>
    <row r="636" spans="1:1" x14ac:dyDescent="0.25">
      <c r="A636" s="18"/>
    </row>
    <row r="637" spans="1:1" x14ac:dyDescent="0.25">
      <c r="A637" s="18"/>
    </row>
    <row r="638" spans="1:1" x14ac:dyDescent="0.25">
      <c r="A638" s="18"/>
    </row>
    <row r="639" spans="1:1" x14ac:dyDescent="0.25">
      <c r="A639" s="18"/>
    </row>
    <row r="640" spans="1:1" x14ac:dyDescent="0.25">
      <c r="A640" s="18"/>
    </row>
    <row r="641" spans="1:1" x14ac:dyDescent="0.25">
      <c r="A641" s="18"/>
    </row>
    <row r="642" spans="1:1" x14ac:dyDescent="0.25">
      <c r="A642" s="18"/>
    </row>
    <row r="643" spans="1:1" x14ac:dyDescent="0.25">
      <c r="A643" s="18"/>
    </row>
    <row r="644" spans="1:1" x14ac:dyDescent="0.25">
      <c r="A644" s="18"/>
    </row>
    <row r="645" spans="1:1" x14ac:dyDescent="0.25">
      <c r="A645" s="18"/>
    </row>
    <row r="646" spans="1:1" x14ac:dyDescent="0.25">
      <c r="A646" s="18"/>
    </row>
    <row r="647" spans="1:1" x14ac:dyDescent="0.25">
      <c r="A647" s="18"/>
    </row>
    <row r="648" spans="1:1" x14ac:dyDescent="0.25">
      <c r="A648" s="18"/>
    </row>
    <row r="649" spans="1:1" x14ac:dyDescent="0.25">
      <c r="A649" s="18"/>
    </row>
    <row r="650" spans="1:1" x14ac:dyDescent="0.25">
      <c r="A650" s="18"/>
    </row>
    <row r="651" spans="1:1" x14ac:dyDescent="0.25">
      <c r="A651" s="18"/>
    </row>
    <row r="652" spans="1:1" x14ac:dyDescent="0.25">
      <c r="A652" s="18"/>
    </row>
    <row r="653" spans="1:1" x14ac:dyDescent="0.25">
      <c r="A653" s="18"/>
    </row>
    <row r="654" spans="1:1" x14ac:dyDescent="0.25">
      <c r="A654" s="18"/>
    </row>
    <row r="655" spans="1:1" x14ac:dyDescent="0.25">
      <c r="A655" s="18"/>
    </row>
    <row r="656" spans="1:1" x14ac:dyDescent="0.25">
      <c r="A656" s="18"/>
    </row>
    <row r="657" spans="1:1" x14ac:dyDescent="0.25">
      <c r="A657" s="18"/>
    </row>
    <row r="658" spans="1:1" x14ac:dyDescent="0.25">
      <c r="A658" s="18"/>
    </row>
    <row r="659" spans="1:1" x14ac:dyDescent="0.25">
      <c r="A659" s="18"/>
    </row>
    <row r="660" spans="1:1" x14ac:dyDescent="0.25">
      <c r="A660" s="18"/>
    </row>
    <row r="661" spans="1:1" x14ac:dyDescent="0.25">
      <c r="A661" s="18"/>
    </row>
    <row r="662" spans="1:1" x14ac:dyDescent="0.25">
      <c r="A662" s="18"/>
    </row>
    <row r="663" spans="1:1" x14ac:dyDescent="0.25">
      <c r="A663" s="18"/>
    </row>
    <row r="664" spans="1:1" x14ac:dyDescent="0.25">
      <c r="A664" s="18"/>
    </row>
    <row r="665" spans="1:1" x14ac:dyDescent="0.25">
      <c r="A665" s="18"/>
    </row>
    <row r="666" spans="1:1" x14ac:dyDescent="0.25">
      <c r="A666" s="18"/>
    </row>
    <row r="667" spans="1:1" x14ac:dyDescent="0.25">
      <c r="A667" s="18"/>
    </row>
    <row r="668" spans="1:1" x14ac:dyDescent="0.25">
      <c r="A668" s="18"/>
    </row>
    <row r="669" spans="1:1" x14ac:dyDescent="0.25">
      <c r="A669" s="18"/>
    </row>
    <row r="670" spans="1:1" x14ac:dyDescent="0.25">
      <c r="A670" s="18"/>
    </row>
    <row r="671" spans="1:1" x14ac:dyDescent="0.25">
      <c r="A671" s="18"/>
    </row>
    <row r="672" spans="1:1" x14ac:dyDescent="0.25">
      <c r="A672" s="18"/>
    </row>
    <row r="673" spans="1:1" x14ac:dyDescent="0.25">
      <c r="A673" s="18"/>
    </row>
    <row r="674" spans="1:1" x14ac:dyDescent="0.25">
      <c r="A674" s="18"/>
    </row>
    <row r="675" spans="1:1" x14ac:dyDescent="0.25">
      <c r="A675" s="18"/>
    </row>
    <row r="676" spans="1:1" x14ac:dyDescent="0.25">
      <c r="A676" s="18"/>
    </row>
    <row r="677" spans="1:1" x14ac:dyDescent="0.25">
      <c r="A677" s="18"/>
    </row>
    <row r="678" spans="1:1" x14ac:dyDescent="0.25">
      <c r="A678" s="18"/>
    </row>
    <row r="679" spans="1:1" x14ac:dyDescent="0.25">
      <c r="A679" s="18"/>
    </row>
    <row r="680" spans="1:1" x14ac:dyDescent="0.25">
      <c r="A680" s="18"/>
    </row>
    <row r="681" spans="1:1" x14ac:dyDescent="0.25">
      <c r="A681" s="18"/>
    </row>
    <row r="682" spans="1:1" x14ac:dyDescent="0.25">
      <c r="A682" s="18"/>
    </row>
    <row r="683" spans="1:1" x14ac:dyDescent="0.25">
      <c r="A683" s="18"/>
    </row>
    <row r="684" spans="1:1" x14ac:dyDescent="0.25">
      <c r="A684" s="18"/>
    </row>
    <row r="685" spans="1:1" x14ac:dyDescent="0.25">
      <c r="A685" s="18"/>
    </row>
    <row r="686" spans="1:1" x14ac:dyDescent="0.25">
      <c r="A686" s="18"/>
    </row>
    <row r="687" spans="1:1" x14ac:dyDescent="0.25">
      <c r="A687" s="18"/>
    </row>
    <row r="688" spans="1:1" x14ac:dyDescent="0.25">
      <c r="A688" s="18"/>
    </row>
    <row r="689" spans="1:1" x14ac:dyDescent="0.25">
      <c r="A689" s="18"/>
    </row>
    <row r="690" spans="1:1" x14ac:dyDescent="0.25">
      <c r="A690" s="18"/>
    </row>
    <row r="691" spans="1:1" x14ac:dyDescent="0.25">
      <c r="A691" s="18"/>
    </row>
    <row r="692" spans="1:1" x14ac:dyDescent="0.25">
      <c r="A692" s="18"/>
    </row>
    <row r="693" spans="1:1" x14ac:dyDescent="0.25">
      <c r="A693" s="18"/>
    </row>
    <row r="694" spans="1:1" x14ac:dyDescent="0.25">
      <c r="A694" s="18"/>
    </row>
    <row r="695" spans="1:1" x14ac:dyDescent="0.25">
      <c r="A695" s="18"/>
    </row>
    <row r="696" spans="1:1" x14ac:dyDescent="0.25">
      <c r="A696" s="18"/>
    </row>
    <row r="697" spans="1:1" x14ac:dyDescent="0.25">
      <c r="A697" s="18"/>
    </row>
    <row r="698" spans="1:1" x14ac:dyDescent="0.25">
      <c r="A698" s="18"/>
    </row>
    <row r="699" spans="1:1" x14ac:dyDescent="0.25">
      <c r="A699" s="18"/>
    </row>
    <row r="700" spans="1:1" x14ac:dyDescent="0.25">
      <c r="A700" s="18"/>
    </row>
    <row r="701" spans="1:1" x14ac:dyDescent="0.25">
      <c r="A701" s="18"/>
    </row>
    <row r="702" spans="1:1" x14ac:dyDescent="0.25">
      <c r="A702" s="18"/>
    </row>
    <row r="703" spans="1:1" x14ac:dyDescent="0.25">
      <c r="A703" s="18"/>
    </row>
    <row r="704" spans="1:1" x14ac:dyDescent="0.25">
      <c r="A704" s="18"/>
    </row>
    <row r="705" spans="1:1" x14ac:dyDescent="0.25">
      <c r="A705" s="18"/>
    </row>
    <row r="706" spans="1:1" x14ac:dyDescent="0.25">
      <c r="A706" s="18"/>
    </row>
    <row r="707" spans="1:1" x14ac:dyDescent="0.25">
      <c r="A707" s="18"/>
    </row>
    <row r="708" spans="1:1" x14ac:dyDescent="0.25">
      <c r="A708" s="18"/>
    </row>
    <row r="709" spans="1:1" x14ac:dyDescent="0.25">
      <c r="A709" s="18"/>
    </row>
    <row r="710" spans="1:1" x14ac:dyDescent="0.25">
      <c r="A710" s="18"/>
    </row>
    <row r="711" spans="1:1" x14ac:dyDescent="0.25">
      <c r="A711" s="18"/>
    </row>
    <row r="712" spans="1:1" x14ac:dyDescent="0.25">
      <c r="A712" s="18"/>
    </row>
    <row r="713" spans="1:1" x14ac:dyDescent="0.25">
      <c r="A713" s="18"/>
    </row>
    <row r="714" spans="1:1" x14ac:dyDescent="0.25">
      <c r="A714" s="18"/>
    </row>
    <row r="715" spans="1:1" x14ac:dyDescent="0.25">
      <c r="A715" s="18"/>
    </row>
    <row r="716" spans="1:1" x14ac:dyDescent="0.25">
      <c r="A716" s="18"/>
    </row>
    <row r="717" spans="1:1" x14ac:dyDescent="0.25">
      <c r="A717" s="18"/>
    </row>
    <row r="718" spans="1:1" x14ac:dyDescent="0.25">
      <c r="A718" s="18"/>
    </row>
    <row r="719" spans="1:1" x14ac:dyDescent="0.25">
      <c r="A719" s="18"/>
    </row>
    <row r="720" spans="1:1" x14ac:dyDescent="0.25">
      <c r="A720" s="18"/>
    </row>
    <row r="721" spans="1:1" x14ac:dyDescent="0.25">
      <c r="A721" s="18"/>
    </row>
    <row r="722" spans="1:1" x14ac:dyDescent="0.25">
      <c r="A722" s="18"/>
    </row>
    <row r="723" spans="1:1" x14ac:dyDescent="0.25">
      <c r="A723" s="18"/>
    </row>
    <row r="724" spans="1:1" x14ac:dyDescent="0.25">
      <c r="A724" s="18"/>
    </row>
    <row r="725" spans="1:1" x14ac:dyDescent="0.25">
      <c r="A725" s="18"/>
    </row>
    <row r="726" spans="1:1" x14ac:dyDescent="0.25">
      <c r="A726" s="18"/>
    </row>
    <row r="727" spans="1:1" x14ac:dyDescent="0.25">
      <c r="A727" s="18"/>
    </row>
    <row r="728" spans="1:1" x14ac:dyDescent="0.25">
      <c r="A728" s="18"/>
    </row>
    <row r="729" spans="1:1" x14ac:dyDescent="0.25">
      <c r="A729" s="18"/>
    </row>
    <row r="730" spans="1:1" x14ac:dyDescent="0.25">
      <c r="A730" s="18"/>
    </row>
    <row r="731" spans="1:1" x14ac:dyDescent="0.25">
      <c r="A731" s="18"/>
    </row>
    <row r="732" spans="1:1" x14ac:dyDescent="0.25">
      <c r="A732" s="18"/>
    </row>
    <row r="733" spans="1:1" x14ac:dyDescent="0.25">
      <c r="A733" s="18"/>
    </row>
    <row r="734" spans="1:1" x14ac:dyDescent="0.25">
      <c r="A734" s="18"/>
    </row>
    <row r="735" spans="1:1" x14ac:dyDescent="0.25">
      <c r="A735" s="18"/>
    </row>
    <row r="736" spans="1:1" x14ac:dyDescent="0.25">
      <c r="A736" s="18"/>
    </row>
    <row r="737" spans="1:1" x14ac:dyDescent="0.25">
      <c r="A737" s="18"/>
    </row>
    <row r="738" spans="1:1" x14ac:dyDescent="0.25">
      <c r="A738" s="18"/>
    </row>
    <row r="739" spans="1:1" x14ac:dyDescent="0.25">
      <c r="A739" s="18"/>
    </row>
    <row r="740" spans="1:1" x14ac:dyDescent="0.25">
      <c r="A740" s="18"/>
    </row>
    <row r="741" spans="1:1" x14ac:dyDescent="0.25">
      <c r="A741" s="18"/>
    </row>
    <row r="742" spans="1:1" x14ac:dyDescent="0.25">
      <c r="A742" s="18"/>
    </row>
    <row r="743" spans="1:1" x14ac:dyDescent="0.25">
      <c r="A743" s="18"/>
    </row>
    <row r="744" spans="1:1" x14ac:dyDescent="0.25">
      <c r="A744" s="18"/>
    </row>
    <row r="745" spans="1:1" x14ac:dyDescent="0.25">
      <c r="A745" s="18"/>
    </row>
    <row r="746" spans="1:1" x14ac:dyDescent="0.25">
      <c r="A746" s="18"/>
    </row>
    <row r="747" spans="1:1" x14ac:dyDescent="0.25">
      <c r="A747" s="18"/>
    </row>
    <row r="748" spans="1:1" x14ac:dyDescent="0.25">
      <c r="A748" s="18"/>
    </row>
    <row r="749" spans="1:1" x14ac:dyDescent="0.25">
      <c r="A749" s="18"/>
    </row>
    <row r="750" spans="1:1" x14ac:dyDescent="0.25">
      <c r="A750" s="18"/>
    </row>
    <row r="751" spans="1:1" x14ac:dyDescent="0.25">
      <c r="A751" s="18"/>
    </row>
    <row r="752" spans="1:1" x14ac:dyDescent="0.25">
      <c r="A752" s="18"/>
    </row>
    <row r="753" spans="1:1" x14ac:dyDescent="0.25">
      <c r="A753" s="18"/>
    </row>
    <row r="754" spans="1:1" x14ac:dyDescent="0.25">
      <c r="A754" s="18"/>
    </row>
    <row r="755" spans="1:1" x14ac:dyDescent="0.25">
      <c r="A755" s="18"/>
    </row>
    <row r="756" spans="1:1" x14ac:dyDescent="0.25">
      <c r="A756" s="18"/>
    </row>
    <row r="757" spans="1:1" x14ac:dyDescent="0.25">
      <c r="A757" s="18"/>
    </row>
    <row r="758" spans="1:1" x14ac:dyDescent="0.25">
      <c r="A758" s="18"/>
    </row>
    <row r="759" spans="1:1" x14ac:dyDescent="0.25">
      <c r="A759" s="18"/>
    </row>
    <row r="760" spans="1:1" x14ac:dyDescent="0.25">
      <c r="A760" s="18"/>
    </row>
    <row r="761" spans="1:1" x14ac:dyDescent="0.25">
      <c r="A761" s="18"/>
    </row>
    <row r="762" spans="1:1" x14ac:dyDescent="0.25">
      <c r="A762" s="18"/>
    </row>
    <row r="763" spans="1:1" x14ac:dyDescent="0.25">
      <c r="A763" s="18"/>
    </row>
    <row r="764" spans="1:1" x14ac:dyDescent="0.25">
      <c r="A764" s="18"/>
    </row>
    <row r="765" spans="1:1" x14ac:dyDescent="0.25">
      <c r="A765" s="18"/>
    </row>
    <row r="766" spans="1:1" x14ac:dyDescent="0.25">
      <c r="A766" s="18"/>
    </row>
    <row r="767" spans="1:1" x14ac:dyDescent="0.25">
      <c r="A767" s="18"/>
    </row>
    <row r="768" spans="1:1" x14ac:dyDescent="0.25">
      <c r="A768" s="18"/>
    </row>
    <row r="769" spans="1:1" x14ac:dyDescent="0.25">
      <c r="A769" s="18"/>
    </row>
    <row r="770" spans="1:1" x14ac:dyDescent="0.25">
      <c r="A770" s="18"/>
    </row>
    <row r="771" spans="1:1" x14ac:dyDescent="0.25">
      <c r="A771" s="18"/>
    </row>
    <row r="772" spans="1:1" x14ac:dyDescent="0.25">
      <c r="A772" s="18"/>
    </row>
    <row r="773" spans="1:1" x14ac:dyDescent="0.25">
      <c r="A773" s="18"/>
    </row>
    <row r="774" spans="1:1" x14ac:dyDescent="0.25">
      <c r="A774" s="18"/>
    </row>
    <row r="775" spans="1:1" x14ac:dyDescent="0.25">
      <c r="A775" s="18"/>
    </row>
    <row r="776" spans="1:1" x14ac:dyDescent="0.25">
      <c r="A776" s="18"/>
    </row>
    <row r="777" spans="1:1" x14ac:dyDescent="0.25">
      <c r="A777" s="18"/>
    </row>
    <row r="778" spans="1:1" x14ac:dyDescent="0.25">
      <c r="A778" s="18"/>
    </row>
    <row r="779" spans="1:1" x14ac:dyDescent="0.25">
      <c r="A779" s="18"/>
    </row>
    <row r="780" spans="1:1" x14ac:dyDescent="0.25">
      <c r="A780" s="18"/>
    </row>
    <row r="781" spans="1:1" x14ac:dyDescent="0.25">
      <c r="A781" s="18"/>
    </row>
    <row r="782" spans="1:1" x14ac:dyDescent="0.25">
      <c r="A782" s="18"/>
    </row>
    <row r="783" spans="1:1" x14ac:dyDescent="0.25">
      <c r="A783" s="18"/>
    </row>
    <row r="784" spans="1:1" x14ac:dyDescent="0.25">
      <c r="A784" s="18"/>
    </row>
    <row r="785" spans="1:1" x14ac:dyDescent="0.25">
      <c r="A785" s="18"/>
    </row>
    <row r="786" spans="1:1" x14ac:dyDescent="0.25">
      <c r="A786" s="18"/>
    </row>
    <row r="787" spans="1:1" x14ac:dyDescent="0.25">
      <c r="A787" s="18"/>
    </row>
    <row r="788" spans="1:1" x14ac:dyDescent="0.25">
      <c r="A788" s="18"/>
    </row>
    <row r="789" spans="1:1" x14ac:dyDescent="0.25">
      <c r="A789" s="18"/>
    </row>
    <row r="790" spans="1:1" x14ac:dyDescent="0.25">
      <c r="A790" s="18"/>
    </row>
    <row r="791" spans="1:1" x14ac:dyDescent="0.25">
      <c r="A791" s="18"/>
    </row>
    <row r="792" spans="1:1" x14ac:dyDescent="0.25">
      <c r="A792" s="18"/>
    </row>
    <row r="793" spans="1:1" x14ac:dyDescent="0.25">
      <c r="A793" s="18"/>
    </row>
    <row r="794" spans="1:1" x14ac:dyDescent="0.25">
      <c r="A794" s="18"/>
    </row>
    <row r="795" spans="1:1" x14ac:dyDescent="0.25">
      <c r="A795" s="18"/>
    </row>
    <row r="796" spans="1:1" x14ac:dyDescent="0.25">
      <c r="A796" s="18"/>
    </row>
    <row r="797" spans="1:1" x14ac:dyDescent="0.25">
      <c r="A797" s="18"/>
    </row>
    <row r="798" spans="1:1" x14ac:dyDescent="0.25">
      <c r="A798" s="18"/>
    </row>
    <row r="799" spans="1:1" x14ac:dyDescent="0.25">
      <c r="A799" s="18"/>
    </row>
    <row r="800" spans="1:1" x14ac:dyDescent="0.25">
      <c r="A800" s="18"/>
    </row>
    <row r="801" spans="1:1" x14ac:dyDescent="0.25">
      <c r="A801" s="18"/>
    </row>
    <row r="802" spans="1:1" x14ac:dyDescent="0.25">
      <c r="A802" s="18"/>
    </row>
    <row r="803" spans="1:1" x14ac:dyDescent="0.25">
      <c r="A803" s="18"/>
    </row>
    <row r="804" spans="1:1" x14ac:dyDescent="0.25">
      <c r="A804" s="18"/>
    </row>
    <row r="805" spans="1:1" x14ac:dyDescent="0.25">
      <c r="A805" s="18"/>
    </row>
    <row r="806" spans="1:1" x14ac:dyDescent="0.25">
      <c r="A806" s="18"/>
    </row>
    <row r="807" spans="1:1" x14ac:dyDescent="0.25">
      <c r="A807" s="18"/>
    </row>
    <row r="808" spans="1:1" x14ac:dyDescent="0.25">
      <c r="A808" s="18"/>
    </row>
    <row r="809" spans="1:1" x14ac:dyDescent="0.25">
      <c r="A809" s="18"/>
    </row>
    <row r="810" spans="1:1" x14ac:dyDescent="0.25">
      <c r="A810" s="18"/>
    </row>
    <row r="811" spans="1:1" x14ac:dyDescent="0.25">
      <c r="A811" s="18"/>
    </row>
    <row r="812" spans="1:1" x14ac:dyDescent="0.25">
      <c r="A812" s="18"/>
    </row>
    <row r="813" spans="1:1" x14ac:dyDescent="0.25">
      <c r="A813" s="18"/>
    </row>
    <row r="814" spans="1:1" x14ac:dyDescent="0.25">
      <c r="A814" s="18"/>
    </row>
    <row r="815" spans="1:1" x14ac:dyDescent="0.25">
      <c r="A815" s="18"/>
    </row>
    <row r="816" spans="1:1" x14ac:dyDescent="0.25">
      <c r="A816" s="18"/>
    </row>
    <row r="817" spans="1:1" x14ac:dyDescent="0.25">
      <c r="A817" s="18"/>
    </row>
    <row r="818" spans="1:1" x14ac:dyDescent="0.25">
      <c r="A818" s="18"/>
    </row>
    <row r="819" spans="1:1" x14ac:dyDescent="0.25">
      <c r="A819" s="18"/>
    </row>
    <row r="820" spans="1:1" x14ac:dyDescent="0.25">
      <c r="A820" s="18"/>
    </row>
    <row r="821" spans="1:1" x14ac:dyDescent="0.25">
      <c r="A821" s="18"/>
    </row>
    <row r="822" spans="1:1" x14ac:dyDescent="0.25">
      <c r="A822" s="18"/>
    </row>
    <row r="823" spans="1:1" x14ac:dyDescent="0.25">
      <c r="A823" s="18"/>
    </row>
    <row r="824" spans="1:1" x14ac:dyDescent="0.25">
      <c r="A824" s="18"/>
    </row>
    <row r="825" spans="1:1" x14ac:dyDescent="0.25">
      <c r="A825" s="18"/>
    </row>
    <row r="826" spans="1:1" x14ac:dyDescent="0.25">
      <c r="A826" s="18"/>
    </row>
    <row r="827" spans="1:1" x14ac:dyDescent="0.25">
      <c r="A827" s="18"/>
    </row>
    <row r="828" spans="1:1" x14ac:dyDescent="0.25">
      <c r="A828" s="18"/>
    </row>
    <row r="829" spans="1:1" x14ac:dyDescent="0.25">
      <c r="A829" s="18"/>
    </row>
    <row r="830" spans="1:1" x14ac:dyDescent="0.25">
      <c r="A830" s="18"/>
    </row>
    <row r="831" spans="1:1" x14ac:dyDescent="0.25">
      <c r="A831" s="18"/>
    </row>
    <row r="832" spans="1:1" x14ac:dyDescent="0.25">
      <c r="A832" s="18"/>
    </row>
    <row r="833" spans="1:1" x14ac:dyDescent="0.25">
      <c r="A833" s="18"/>
    </row>
    <row r="834" spans="1:1" x14ac:dyDescent="0.25">
      <c r="A834" s="18"/>
    </row>
    <row r="835" spans="1:1" x14ac:dyDescent="0.25">
      <c r="A835" s="18"/>
    </row>
    <row r="836" spans="1:1" x14ac:dyDescent="0.25">
      <c r="A836" s="18"/>
    </row>
    <row r="837" spans="1:1" x14ac:dyDescent="0.25">
      <c r="A837" s="18"/>
    </row>
    <row r="838" spans="1:1" x14ac:dyDescent="0.25">
      <c r="A838" s="18"/>
    </row>
    <row r="839" spans="1:1" x14ac:dyDescent="0.25">
      <c r="A839" s="18"/>
    </row>
    <row r="840" spans="1:1" x14ac:dyDescent="0.25">
      <c r="A840" s="18"/>
    </row>
    <row r="841" spans="1:1" x14ac:dyDescent="0.25">
      <c r="A841" s="18"/>
    </row>
    <row r="842" spans="1:1" x14ac:dyDescent="0.25">
      <c r="A842" s="18"/>
    </row>
    <row r="843" spans="1:1" x14ac:dyDescent="0.25">
      <c r="A843" s="18"/>
    </row>
    <row r="844" spans="1:1" x14ac:dyDescent="0.25">
      <c r="A844" s="18"/>
    </row>
    <row r="845" spans="1:1" x14ac:dyDescent="0.25">
      <c r="A845" s="18"/>
    </row>
    <row r="846" spans="1:1" x14ac:dyDescent="0.25">
      <c r="A846" s="18"/>
    </row>
    <row r="847" spans="1:1" x14ac:dyDescent="0.25">
      <c r="A847" s="18"/>
    </row>
    <row r="848" spans="1:1" x14ac:dyDescent="0.25">
      <c r="A848" s="18"/>
    </row>
    <row r="849" spans="1:1" x14ac:dyDescent="0.25">
      <c r="A849" s="18"/>
    </row>
    <row r="850" spans="1:1" x14ac:dyDescent="0.25">
      <c r="A850" s="18"/>
    </row>
    <row r="851" spans="1:1" x14ac:dyDescent="0.25">
      <c r="A851" s="18"/>
    </row>
    <row r="852" spans="1:1" x14ac:dyDescent="0.25">
      <c r="A852" s="18"/>
    </row>
    <row r="853" spans="1:1" x14ac:dyDescent="0.25">
      <c r="A853" s="18"/>
    </row>
    <row r="854" spans="1:1" x14ac:dyDescent="0.25">
      <c r="A854" s="18"/>
    </row>
    <row r="855" spans="1:1" x14ac:dyDescent="0.25">
      <c r="A855" s="18"/>
    </row>
    <row r="856" spans="1:1" x14ac:dyDescent="0.25">
      <c r="A856" s="18"/>
    </row>
    <row r="857" spans="1:1" x14ac:dyDescent="0.25">
      <c r="A857" s="18"/>
    </row>
    <row r="858" spans="1:1" x14ac:dyDescent="0.25">
      <c r="A858" s="18"/>
    </row>
    <row r="859" spans="1:1" x14ac:dyDescent="0.25">
      <c r="A859" s="18"/>
    </row>
    <row r="860" spans="1:1" x14ac:dyDescent="0.25">
      <c r="A860" s="18"/>
    </row>
    <row r="861" spans="1:1" x14ac:dyDescent="0.25">
      <c r="A861" s="18"/>
    </row>
    <row r="862" spans="1:1" x14ac:dyDescent="0.25">
      <c r="A862" s="18"/>
    </row>
    <row r="863" spans="1:1" x14ac:dyDescent="0.25">
      <c r="A863" s="18"/>
    </row>
    <row r="864" spans="1:1" x14ac:dyDescent="0.25">
      <c r="A864" s="18"/>
    </row>
    <row r="865" spans="1:1" x14ac:dyDescent="0.25">
      <c r="A865" s="18"/>
    </row>
    <row r="866" spans="1:1" x14ac:dyDescent="0.25">
      <c r="A866" s="18"/>
    </row>
    <row r="867" spans="1:1" x14ac:dyDescent="0.25">
      <c r="A867" s="18"/>
    </row>
    <row r="868" spans="1:1" x14ac:dyDescent="0.25">
      <c r="A868" s="18"/>
    </row>
    <row r="869" spans="1:1" x14ac:dyDescent="0.25">
      <c r="A869" s="18"/>
    </row>
    <row r="870" spans="1:1" x14ac:dyDescent="0.25">
      <c r="A870" s="18"/>
    </row>
    <row r="871" spans="1:1" x14ac:dyDescent="0.25">
      <c r="A871" s="18"/>
    </row>
    <row r="872" spans="1:1" x14ac:dyDescent="0.25">
      <c r="A872" s="18"/>
    </row>
    <row r="873" spans="1:1" x14ac:dyDescent="0.25">
      <c r="A873" s="18"/>
    </row>
    <row r="874" spans="1:1" x14ac:dyDescent="0.25">
      <c r="A874" s="18"/>
    </row>
    <row r="875" spans="1:1" x14ac:dyDescent="0.25">
      <c r="A875" s="18"/>
    </row>
    <row r="876" spans="1:1" x14ac:dyDescent="0.25">
      <c r="A876" s="18"/>
    </row>
    <row r="877" spans="1:1" x14ac:dyDescent="0.25">
      <c r="A877" s="18"/>
    </row>
    <row r="878" spans="1:1" x14ac:dyDescent="0.25">
      <c r="A878" s="18"/>
    </row>
    <row r="879" spans="1:1" x14ac:dyDescent="0.25">
      <c r="A879" s="18"/>
    </row>
    <row r="880" spans="1:1" x14ac:dyDescent="0.25">
      <c r="A880" s="18"/>
    </row>
    <row r="881" spans="1:1" x14ac:dyDescent="0.25">
      <c r="A881" s="18"/>
    </row>
    <row r="882" spans="1:1" x14ac:dyDescent="0.25">
      <c r="A882" s="18"/>
    </row>
    <row r="883" spans="1:1" x14ac:dyDescent="0.25">
      <c r="A883" s="18"/>
    </row>
    <row r="884" spans="1:1" x14ac:dyDescent="0.25">
      <c r="A884" s="18"/>
    </row>
    <row r="885" spans="1:1" x14ac:dyDescent="0.25">
      <c r="A885" s="18"/>
    </row>
    <row r="886" spans="1:1" x14ac:dyDescent="0.25">
      <c r="A886" s="18"/>
    </row>
    <row r="887" spans="1:1" x14ac:dyDescent="0.25">
      <c r="A887" s="18"/>
    </row>
    <row r="888" spans="1:1" x14ac:dyDescent="0.25">
      <c r="A888" s="18"/>
    </row>
    <row r="889" spans="1:1" x14ac:dyDescent="0.25">
      <c r="A889" s="18"/>
    </row>
    <row r="890" spans="1:1" x14ac:dyDescent="0.25">
      <c r="A890" s="18"/>
    </row>
    <row r="891" spans="1:1" x14ac:dyDescent="0.25">
      <c r="A891" s="18"/>
    </row>
    <row r="892" spans="1:1" x14ac:dyDescent="0.25">
      <c r="A892" s="18"/>
    </row>
    <row r="893" spans="1:1" x14ac:dyDescent="0.25">
      <c r="A893" s="18"/>
    </row>
    <row r="894" spans="1:1" x14ac:dyDescent="0.25">
      <c r="A894" s="18"/>
    </row>
    <row r="895" spans="1:1" x14ac:dyDescent="0.25">
      <c r="A895" s="18"/>
    </row>
    <row r="896" spans="1:1" x14ac:dyDescent="0.25">
      <c r="A896" s="18"/>
    </row>
    <row r="897" spans="1:1" x14ac:dyDescent="0.25">
      <c r="A897" s="18"/>
    </row>
    <row r="898" spans="1:1" x14ac:dyDescent="0.25">
      <c r="A898" s="18"/>
    </row>
    <row r="899" spans="1:1" x14ac:dyDescent="0.25">
      <c r="A899" s="18"/>
    </row>
    <row r="900" spans="1:1" x14ac:dyDescent="0.25">
      <c r="A900" s="18"/>
    </row>
    <row r="901" spans="1:1" x14ac:dyDescent="0.25">
      <c r="A901" s="18"/>
    </row>
    <row r="902" spans="1:1" x14ac:dyDescent="0.25">
      <c r="A902" s="18"/>
    </row>
    <row r="903" spans="1:1" x14ac:dyDescent="0.25">
      <c r="A903" s="18"/>
    </row>
    <row r="904" spans="1:1" x14ac:dyDescent="0.25">
      <c r="A904" s="18"/>
    </row>
    <row r="905" spans="1:1" x14ac:dyDescent="0.25">
      <c r="A905" s="18"/>
    </row>
    <row r="906" spans="1:1" x14ac:dyDescent="0.25">
      <c r="A906" s="18"/>
    </row>
    <row r="907" spans="1:1" x14ac:dyDescent="0.25">
      <c r="A907" s="18"/>
    </row>
    <row r="908" spans="1:1" x14ac:dyDescent="0.25">
      <c r="A908" s="18"/>
    </row>
    <row r="909" spans="1:1" x14ac:dyDescent="0.25">
      <c r="A909" s="18"/>
    </row>
    <row r="910" spans="1:1" x14ac:dyDescent="0.25">
      <c r="A910" s="18"/>
    </row>
    <row r="911" spans="1:1" x14ac:dyDescent="0.25">
      <c r="A911" s="18"/>
    </row>
    <row r="912" spans="1:1" x14ac:dyDescent="0.25">
      <c r="A912" s="18"/>
    </row>
    <row r="913" spans="1:1" x14ac:dyDescent="0.25">
      <c r="A913" s="18"/>
    </row>
    <row r="914" spans="1:1" x14ac:dyDescent="0.25">
      <c r="A914" s="18"/>
    </row>
    <row r="915" spans="1:1" x14ac:dyDescent="0.25">
      <c r="A915" s="18"/>
    </row>
    <row r="916" spans="1:1" x14ac:dyDescent="0.25">
      <c r="A916" s="18"/>
    </row>
    <row r="917" spans="1:1" x14ac:dyDescent="0.25">
      <c r="A917" s="18"/>
    </row>
    <row r="918" spans="1:1" x14ac:dyDescent="0.25">
      <c r="A918" s="18"/>
    </row>
    <row r="919" spans="1:1" x14ac:dyDescent="0.25">
      <c r="A919" s="18"/>
    </row>
    <row r="920" spans="1:1" x14ac:dyDescent="0.25">
      <c r="A920" s="18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Introduction</vt:lpstr>
      <vt:lpstr>Inputs</vt:lpstr>
      <vt:lpstr>Main</vt:lpstr>
      <vt:lpstr>Benchmarking</vt:lpstr>
    </vt:vector>
  </TitlesOfParts>
  <Company>Branch Banking &amp; Trust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Zhou, Xianwen</dc:creator>
  <cp:keywords>Internal</cp:keywords>
  <cp:lastModifiedBy>Zhou, Xianwen</cp:lastModifiedBy>
  <dcterms:created xsi:type="dcterms:W3CDTF">2020-05-14T13:43:34Z</dcterms:created>
  <dcterms:modified xsi:type="dcterms:W3CDTF">2020-06-11T14:48:44Z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c16e77a2-d523-438d-9da5-c21e3d20bd83</vt:lpwstr>
  </property>
  <property fmtid="{D5CDD505-2E9C-101B-9397-08002B2CF9AE}" pid="3" name="Classification">
    <vt:lpwstr>TitusClass-Internal</vt:lpwstr>
  </property>
  <property fmtid="{D5CDD505-2E9C-101B-9397-08002B2CF9AE}" pid="4" name="ApplyVisualMarkings">
    <vt:lpwstr>Yes</vt:lpwstr>
  </property>
</Properties>
</file>